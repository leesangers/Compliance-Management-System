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osan.sharepoint.com/sites/BR00.REQTEAMS.30241/Shared Documents/General/두산밥캣(DBI)/12_CLO&amp;CCO CP팀/"/>
    </mc:Choice>
  </mc:AlternateContent>
  <xr:revisionPtr revIDLastSave="108" documentId="13_ncr:1_{8BE4F6A5-A596-43A3-9A0D-944ABA224620}" xr6:coauthVersionLast="47" xr6:coauthVersionMax="47" xr10:uidLastSave="{A1E2FD0B-D2BF-4DB1-A252-D9A78BEA3760}"/>
  <bookViews>
    <workbookView xWindow="-28920" yWindow="-120" windowWidth="29040" windowHeight="17520" tabRatio="831" firstSheet="3" activeTab="8" xr2:uid="{CB76A7E5-7FD4-4EF0-BE7E-2F20E63334FD}"/>
  </bookViews>
  <sheets>
    <sheet name="Sheet1" sheetId="9" state="hidden" r:id="rId1"/>
    <sheet name="0. 개정검토이력" sheetId="19" r:id="rId2"/>
    <sheet name="1. 의무등록부(관련법규 및 이해관계자)" sheetId="10" r:id="rId3"/>
    <sheet name="2. Compliance 리스크 통제" sheetId="7" r:id="rId4"/>
    <sheet name="리스크 갯수" sheetId="8" state="hidden" r:id="rId5"/>
    <sheet name="1-1인허가" sheetId="2" state="hidden" r:id="rId6"/>
    <sheet name="1-2계약상의 의무" sheetId="3" state="hidden" r:id="rId7"/>
    <sheet name="3. Ethics 리스크 통제" sheetId="15" r:id="rId8"/>
    <sheet name="4. 자율준수목표" sheetId="6" r:id="rId9"/>
    <sheet name="(참고)리스크판단" sheetId="4" r:id="rId10"/>
    <sheet name="(참고) 의무등록부" sheetId="18" r:id="rId11"/>
    <sheet name="(참고)부패상황" sheetId="16" r:id="rId12"/>
  </sheets>
  <definedNames>
    <definedName name="\0">#N/A</definedName>
    <definedName name="\101">#REF!</definedName>
    <definedName name="\a">#REF!</definedName>
    <definedName name="\b">#N/A</definedName>
    <definedName name="\c">#N/A</definedName>
    <definedName name="\d">#N/A</definedName>
    <definedName name="\E">#REF!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#REF!</definedName>
    <definedName name="\m">#N/A</definedName>
    <definedName name="\n">#N/A</definedName>
    <definedName name="\o">#N/A</definedName>
    <definedName name="\P">#REF!</definedName>
    <definedName name="\q">#N/A</definedName>
    <definedName name="\r">#N/A</definedName>
    <definedName name="\S">#REF!</definedName>
    <definedName name="\t">#N/A</definedName>
    <definedName name="\u">#N/A</definedName>
    <definedName name="\v">#N/A</definedName>
    <definedName name="\w">#N/A</definedName>
    <definedName name="\x">#N/A</definedName>
    <definedName name="\y">#N/A</definedName>
    <definedName name="\z">#N/A</definedName>
    <definedName name="_" localSheetId="1">#REF!</definedName>
    <definedName name="_">#REF!</definedName>
    <definedName name="__IntlFixup" hidden="1">TRUE</definedName>
    <definedName name="_1" localSheetId="1">#REF!</definedName>
    <definedName name="_1">#REF!</definedName>
    <definedName name="_1_??_????æ" localSheetId="1">#REF!</definedName>
    <definedName name="_1_??_????æ">#REF!</definedName>
    <definedName name="_10Im10_">#REF!</definedName>
    <definedName name="_11Im11_">#REF!</definedName>
    <definedName name="_12Im2_">#N/A</definedName>
    <definedName name="_13Im3_">#REF!</definedName>
    <definedName name="_14Im4_">#REF!</definedName>
    <definedName name="_15Im5_">#REF!</definedName>
    <definedName name="_16Im6_">#REF!</definedName>
    <definedName name="_17Im7_">#N/A</definedName>
    <definedName name="_18Im8_">#N/A</definedName>
    <definedName name="_19Im9_">#REF!</definedName>
    <definedName name="_2">#REF!</definedName>
    <definedName name="_2_ˆó_ü—Ìˆæ">#REF!</definedName>
    <definedName name="_3">#REF!</definedName>
    <definedName name="_3__123Graph_A도표_3" hidden="1">#REF!</definedName>
    <definedName name="_4">#REF!</definedName>
    <definedName name="_4__123Graph_B도표_3" hidden="1">#REF!</definedName>
    <definedName name="_44">#REF!</definedName>
    <definedName name="_5">#REF!</definedName>
    <definedName name="_5_USER">#REF!</definedName>
    <definedName name="_6">#REF!</definedName>
    <definedName name="_7">#REF!</definedName>
    <definedName name="_77">#REF!</definedName>
    <definedName name="_8">#REF!</definedName>
    <definedName name="_ATT1">#REF!</definedName>
    <definedName name="_ATT2">#REF!</definedName>
    <definedName name="_ATT3">#REF!</definedName>
    <definedName name="_ATT4">#REF!</definedName>
    <definedName name="_ATT5">#REF!</definedName>
    <definedName name="_ave2000">#REF!</definedName>
    <definedName name="_ave2001">#REF!</definedName>
    <definedName name="_chj5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1">#REF!</definedName>
    <definedName name="_DAT6">#REF!</definedName>
    <definedName name="_DAT7">#REF!</definedName>
    <definedName name="_DAT8">#REF!</definedName>
    <definedName name="_DAT81">#REF!</definedName>
    <definedName name="_DAT9">#REF!</definedName>
    <definedName name="_Dist_Values" hidden="1">#REF!</definedName>
    <definedName name="_Fill" hidden="1">#REF!</definedName>
    <definedName name="_xlnm._FilterDatabase" localSheetId="2" hidden="1">'1. 의무등록부(관련법규 및 이해관계자)'!$A$4:$N$11</definedName>
    <definedName name="_xlnm._FilterDatabase" localSheetId="3" hidden="1">'2. Compliance 리스크 통제'!$A$5:$Q$16</definedName>
    <definedName name="_xlnm._FilterDatabase" localSheetId="8" hidden="1">'4. 자율준수목표'!#REF!</definedName>
    <definedName name="_xlnm._FilterDatabase">#REF!</definedName>
    <definedName name="_hjc4">#REF!</definedName>
    <definedName name="_hjc42">#REF!</definedName>
    <definedName name="_hjc43">#REF!</definedName>
    <definedName name="_hjc44">#REF!</definedName>
    <definedName name="_hjc45">#REF!</definedName>
    <definedName name="_hjc46" hidden="1">#REF!</definedName>
    <definedName name="_hjc47">#REF!</definedName>
    <definedName name="_hjc50">#REF!</definedName>
    <definedName name="_hjc70">#REF!</definedName>
    <definedName name="_hjc71">#REF!</definedName>
    <definedName name="_hjc72">#REF!</definedName>
    <definedName name="_hjc75">#REF!</definedName>
    <definedName name="_Key1" hidden="1">#REF!</definedName>
    <definedName name="_Key2" hidden="1">#REF!</definedName>
    <definedName name="_MAP1">#REF!</definedName>
    <definedName name="_max2000">#REF!</definedName>
    <definedName name="_max2001">#REF!</definedName>
    <definedName name="_min2000">#REF!</definedName>
    <definedName name="_min2001">#REF!</definedName>
    <definedName name="_MTR01">#REF!</definedName>
    <definedName name="_MTR02">#REF!</definedName>
    <definedName name="_MTR03">#REF!</definedName>
    <definedName name="_MTR04">#REF!</definedName>
    <definedName name="_MTR05">#REF!</definedName>
    <definedName name="_MTR06">#REF!</definedName>
    <definedName name="_MTR07">#REF!</definedName>
    <definedName name="_MTR08">#REF!</definedName>
    <definedName name="_MTR09">#REF!</definedName>
    <definedName name="_MTR10">#REF!</definedName>
    <definedName name="_MTR11">#REF!</definedName>
    <definedName name="_MTR12">#REF!</definedName>
    <definedName name="_Order1" hidden="1">255</definedName>
    <definedName name="_Order2" hidden="1">255</definedName>
    <definedName name="_P">#N/A</definedName>
    <definedName name="_P1">#REF!</definedName>
    <definedName name="_p11">#REF!</definedName>
    <definedName name="_p2">#REF!</definedName>
    <definedName name="_Parse_Out" hidden="1">#REF!</definedName>
    <definedName name="_PNT01">#REF!</definedName>
    <definedName name="_PNT02">#REF!</definedName>
    <definedName name="_PNT03">#REF!</definedName>
    <definedName name="_PNT04">#REF!</definedName>
    <definedName name="_PNT05">#REF!</definedName>
    <definedName name="_PNT06">#REF!</definedName>
    <definedName name="_PNT07">#REF!</definedName>
    <definedName name="_PNT08">#REF!</definedName>
    <definedName name="_PNT09">#REF!</definedName>
    <definedName name="_PNT10">#REF!</definedName>
    <definedName name="_PNT11">#REF!</definedName>
    <definedName name="_PNT12">#REF!</definedName>
    <definedName name="_pr1">#REF!</definedName>
    <definedName name="_pr2">#REF!</definedName>
    <definedName name="_pr3">#REF!</definedName>
    <definedName name="_PRT1">#REF!</definedName>
    <definedName name="_PRT2">#REF!</definedName>
    <definedName name="_PRT3">#REF!</definedName>
    <definedName name="_PRT4">#REF!</definedName>
    <definedName name="_PRT5">#REF!</definedName>
    <definedName name="_PRT6">#REF!</definedName>
    <definedName name="_PRT8">#REF!</definedName>
    <definedName name="_pt2000">#REF!</definedName>
    <definedName name="_pt2001">#REF!</definedName>
    <definedName name="_ran405">#REF!</definedName>
    <definedName name="_SEL1">#REF!</definedName>
    <definedName name="_SEL2">#REF!</definedName>
    <definedName name="_SEL3">#REF!</definedName>
    <definedName name="_Sort" hidden="1">#REF!</definedName>
    <definedName name="_sum1">#REF!</definedName>
    <definedName name="_tt2">#REF!</definedName>
    <definedName name="_US1">#REF!</definedName>
    <definedName name="_val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A_I">#REF!</definedName>
    <definedName name="A_I1">#REF!</definedName>
    <definedName name="A_I2">#REF!</definedName>
    <definedName name="A_I3">#REF!</definedName>
    <definedName name="A_I4">#REF!</definedName>
    <definedName name="A_P">#REF!</definedName>
    <definedName name="AC_HK">#REF!</definedName>
    <definedName name="Access_Button" hidden="1">"X9805인원_인사기록__2__List"</definedName>
    <definedName name="AccessDatabase" hidden="1">"C:\A Tommy\Plan\5yr plan\KR TEMPLATE 2002.mdb"</definedName>
    <definedName name="AccountBase">#REF!</definedName>
    <definedName name="Aekyung_Fee">#REF!</definedName>
    <definedName name="AllTables" localSheetId="1">{10}</definedName>
    <definedName name="AllTables" localSheetId="7">{10}</definedName>
    <definedName name="AllTables">{10}</definedName>
    <definedName name="AS2DocOpenMode" hidden="1">"AS2DocumentEdit"</definedName>
    <definedName name="AUD">#REF!</definedName>
    <definedName name="AUD총괄">#REF!</definedName>
    <definedName name="Ave">#REF!</definedName>
    <definedName name="b">#REF!</definedName>
    <definedName name="B_I">#REF!</definedName>
    <definedName name="B_I1">#REF!</definedName>
    <definedName name="B_I2">#REF!</definedName>
    <definedName name="B_I3">#REF!</definedName>
    <definedName name="B_I4">#REF!</definedName>
    <definedName name="B_P">#REF!</definedName>
    <definedName name="BaseYear">#REF!</definedName>
    <definedName name="BAT">#REF!</definedName>
    <definedName name="BB">#REF!</definedName>
    <definedName name="BBDM01">#REF!</definedName>
    <definedName name="BBEX01">#REF!</definedName>
    <definedName name="BBPD01">#REF!</definedName>
    <definedName name="BD_SQFT_PER_UNT">#REF!</definedName>
    <definedName name="BD_SQFT_UNT">#REF!</definedName>
    <definedName name="BJLBDR">#REF!</definedName>
    <definedName name="BJLBID">#REF!</definedName>
    <definedName name="BJLBWT">#REF!</definedName>
    <definedName name="BODEGAYR1">#REF!</definedName>
    <definedName name="BODEGAYR2">#REF!</definedName>
    <definedName name="BODEGAYR3">#REF!</definedName>
    <definedName name="BODEGAYR4">#REF!</definedName>
    <definedName name="BODEGAYR5">#REF!</definedName>
    <definedName name="Brazil_Dtl_Fcst">#REF!</definedName>
    <definedName name="BRR">#REF!</definedName>
    <definedName name="bs">#REF!</definedName>
    <definedName name="Bugest" hidden="1">#REF!</definedName>
    <definedName name="BUS_UNITS">#REF!</definedName>
    <definedName name="Bust">#REF!</definedName>
    <definedName name="Button_1">"KR_TEMPLATE_2002_SC_List"</definedName>
    <definedName name="Button_2">"KR_TEMPLATE_2002_SC_List1"</definedName>
    <definedName name="C_">#REF!</definedName>
    <definedName name="CapX04App">#REF!</definedName>
    <definedName name="CapX04AppUnit">#REF!</definedName>
    <definedName name="CapX5">#REF!</definedName>
    <definedName name="CapX5Unit">#REF!</definedName>
    <definedName name="CapXPreApp">#REF!</definedName>
    <definedName name="CapXPreAppPUnit">#REF!</definedName>
    <definedName name="CapXPreAppUnit">#REF!</definedName>
    <definedName name="CapXTot">#REF!</definedName>
    <definedName name="CapXTotUnit">#REF!</definedName>
    <definedName name="Car_M_DLVY_Box">#REF!</definedName>
    <definedName name="Car_Oil_Fee">#REF!</definedName>
    <definedName name="Case_Lent_Fee">#REF!</definedName>
    <definedName name="CC">#REF!</definedName>
    <definedName name="CD">#REF!</definedName>
    <definedName name="Center_Help_Fee">#REF!</definedName>
    <definedName name="Center_Traffic_Fee">#REF!</definedName>
    <definedName name="Center_Uniform_Fee">#REF!</definedName>
    <definedName name="CFRATE">#REF!</definedName>
    <definedName name="cha">#REF!</definedName>
    <definedName name="Chart_1">"Chart 1"</definedName>
    <definedName name="CHULGOILL">#N/A</definedName>
    <definedName name="CLUB_MEMBERSHIP_FEE">#REF!</definedName>
    <definedName name="CNTRL_NON">#REF!</definedName>
    <definedName name="CO">#REF!</definedName>
    <definedName name="CO_JV">#REF!</definedName>
    <definedName name="CODE">#N/A</definedName>
    <definedName name="COEFF_TYPES">#REF!</definedName>
    <definedName name="COL">#REF!</definedName>
    <definedName name="COLL">#REF!</definedName>
    <definedName name="COMMERCIAL">#REF!</definedName>
    <definedName name="Comp.15">#REF!</definedName>
    <definedName name="COMPANIES">#REF!</definedName>
    <definedName name="Contents">#REF!</definedName>
    <definedName name="Continue">#REF!</definedName>
    <definedName name="cost">#REF!</definedName>
    <definedName name="costs" hidden="1">#REF!</definedName>
    <definedName name="Cover">#REF!</definedName>
    <definedName name="CPX_Template">#REF!</definedName>
    <definedName name="CR3RT">#REF!</definedName>
    <definedName name="CR3RTDK">#REF!</definedName>
    <definedName name="CR5RTDK">#REF!</definedName>
    <definedName name="CSO">#REF!</definedName>
    <definedName name="CT_HK">#REF!</definedName>
    <definedName name="CTN">#REF!</definedName>
    <definedName name="CUST">#REF!</definedName>
    <definedName name="D">#N/A</definedName>
    <definedName name="DA">#N/A</definedName>
    <definedName name="DATA">#REF!</definedName>
    <definedName name="DATI5">#REF!</definedName>
    <definedName name="daysly">#REF!</definedName>
    <definedName name="DBb">#REF!</definedName>
    <definedName name="dbo_Atest">#REF!</definedName>
    <definedName name="DC_SZ">#REF!</definedName>
    <definedName name="DDAN01">#REF!</definedName>
    <definedName name="DDDD">#REF!</definedName>
    <definedName name="DEALER">#N/A</definedName>
    <definedName name="DEFN_TBL">#REF!</definedName>
    <definedName name="DEFN_TBL_BSE">#REF!</definedName>
    <definedName name="DEPRECIATION__YRS">#REF!</definedName>
    <definedName name="DEPRECIATION_YTD">#REF!</definedName>
    <definedName name="Distribution">#REF!</definedName>
    <definedName name="DJCLEAR">#REF!</definedName>
    <definedName name="DMSGML68">#REF!</definedName>
    <definedName name="DNAREA">#REF!</definedName>
    <definedName name="Documents_array">#REF!</definedName>
    <definedName name="Dongwon_Cold_Fee">#REF!</definedName>
    <definedName name="Dongwon_Goods_Fee">#REF!</definedName>
    <definedName name="dp">#REF!</definedName>
    <definedName name="dsf" localSheetId="1" hidden="1">{#N/A,#N/A,FALSE,"Sheet1";#N/A,#N/A,FALSE,"Sheet1";#N/A,#N/A,FALSE,"Sheet1"}</definedName>
    <definedName name="dsf" localSheetId="7" hidden="1">{#N/A,#N/A,FALSE,"Sheet1";#N/A,#N/A,FALSE,"Sheet1";#N/A,#N/A,FALSE,"Sheet1"}</definedName>
    <definedName name="dsf" hidden="1">{#N/A,#N/A,FALSE,"Sheet1";#N/A,#N/A,FALSE,"Sheet1";#N/A,#N/A,FALSE,"Sheet1"}</definedName>
    <definedName name="eBiz">#REF!</definedName>
    <definedName name="Edutainment" localSheetId="1" hidden="1">{#N/A,#N/A,FALSE,"Sheet1";#N/A,#N/A,FALSE,"Sheet1";#N/A,#N/A,FALSE,"Sheet1"}</definedName>
    <definedName name="Edutainment" localSheetId="7" hidden="1">{#N/A,#N/A,FALSE,"Sheet1";#N/A,#N/A,FALSE,"Sheet1";#N/A,#N/A,FALSE,"Sheet1"}</definedName>
    <definedName name="Edutainment" hidden="1">{#N/A,#N/A,FALSE,"Sheet1";#N/A,#N/A,FALSE,"Sheet1";#N/A,#N/A,FALSE,"Sheet1"}</definedName>
    <definedName name="EssLatest">"Per00"</definedName>
    <definedName name="EssOptions">"A2100000000111000011001101000_01000"</definedName>
    <definedName name="etc">#REF!</definedName>
    <definedName name="EXIT">#N/A</definedName>
    <definedName name="EXST_UNT_TBL">#REF!</definedName>
    <definedName name="FG46TBTB4RTDKDK">#REF!</definedName>
    <definedName name="FirstFormat">#REF!</definedName>
    <definedName name="FMT_COL">#REF!</definedName>
    <definedName name="FMTS_IMPCTD">#REF!</definedName>
    <definedName name="FN_SZ">#REF!</definedName>
    <definedName name="FORK">#N/A</definedName>
    <definedName name="FORMAT">#REF!</definedName>
    <definedName name="fr_stan">#REF!</definedName>
    <definedName name="FRST_FMT">#REF!</definedName>
    <definedName name="fs">#REF!</definedName>
    <definedName name="Full_Time_Overtime_Fee">#REF!</definedName>
    <definedName name="Full_Time_Picking_Fee">#REF!</definedName>
    <definedName name="FXD_VAR">#REF!</definedName>
    <definedName name="gbp">#REF!</definedName>
    <definedName name="GM">#REF!</definedName>
    <definedName name="GRP_BSE">#REF!</definedName>
    <definedName name="GRP_LBL_BSE">#REF!</definedName>
    <definedName name="GRP_LBLS">#REF!</definedName>
    <definedName name="GRP_LBLS_II">#REF!</definedName>
    <definedName name="GRP_TBL">#REF!</definedName>
    <definedName name="GRP_TBL_BSE">#REF!</definedName>
    <definedName name="GRWTH_MTHDS">#REF!</definedName>
    <definedName name="guswn">#REF!</definedName>
    <definedName name="headcount">#REF!</definedName>
    <definedName name="Hello">#REF!</definedName>
    <definedName name="Helper_Fee">#REF!</definedName>
    <definedName name="hf">#REF!</definedName>
    <definedName name="hj">#REF!</definedName>
    <definedName name="hjc" hidden="1">#REF!</definedName>
    <definedName name="HOMEOFFICE">#REF!</definedName>
    <definedName name="howToChange">#REF!</definedName>
    <definedName name="howToCheck">#REF!</definedName>
    <definedName name="HTML_CodePage" hidden="1">949</definedName>
    <definedName name="HTML_Control" localSheetId="1" hidden="1">{"'BS'!$C$10"}</definedName>
    <definedName name="HTML_Control" localSheetId="7" hidden="1">{"'BS'!$C$10"}</definedName>
    <definedName name="HTML_Control" hidden="1">{"'BS'!$C$10"}</definedName>
    <definedName name="HTML_Description" hidden="1">""</definedName>
    <definedName name="HTML_Email" hidden="1">""</definedName>
    <definedName name="HTML_Header" hidden="1">"BS"</definedName>
    <definedName name="HTML_LastUpdate" hidden="1">"26/01/2001"</definedName>
    <definedName name="HTML_LineAfter" hidden="1">FALSE</definedName>
    <definedName name="HTML_LineBefore" hidden="1">FALSE</definedName>
    <definedName name="HTML_Name" hidden="1">"Valued Wal-Mart Associate"</definedName>
    <definedName name="HTML_OBDlg2" hidden="1">TRUE</definedName>
    <definedName name="HTML_OBDlg4" hidden="1">TRUE</definedName>
    <definedName name="HTML_OS" hidden="1">0</definedName>
    <definedName name="HTML_PathFile" hidden="1">"C:\djnew\Auditing\2000\Second Quarter\MyHTML.htm"</definedName>
    <definedName name="HTML_Title" hidden="1">"GAAP-W-BS-Final"</definedName>
    <definedName name="Im" hidden="1">#REF!</definedName>
    <definedName name="incr2000">#REF!</definedName>
    <definedName name="incr2001">#REF!</definedName>
    <definedName name="inflate">#REF!</definedName>
    <definedName name="INFLATION">#REF!</definedName>
    <definedName name="INPT_UNTS">#REF!</definedName>
    <definedName name="INPUTS1">#REF!</definedName>
    <definedName name="INPUTS2">#REF!</definedName>
    <definedName name="invoice">#REF!</definedName>
    <definedName name="ip">#REF!</definedName>
    <definedName name="IR">#N/A</definedName>
    <definedName name="IR8145_">#N/A</definedName>
    <definedName name="ITEMRET">#REF!</definedName>
    <definedName name="ITEMS">#REF!</definedName>
    <definedName name="KKK">#REF!</definedName>
    <definedName name="kp">#REF!</definedName>
    <definedName name="KR_FORECAST">#REF!</definedName>
    <definedName name="KR_Forecast_2">#REF!</definedName>
    <definedName name="landsites">#REF!</definedName>
    <definedName name="LCODES">#REF!</definedName>
    <definedName name="LG_HK">#REF!</definedName>
    <definedName name="List">#REF!</definedName>
    <definedName name="LOC">#REF!</definedName>
    <definedName name="LOCA">#REF!</definedName>
    <definedName name="Local_Car_Oil_Fee">#REF!</definedName>
    <definedName name="Local_Cold_Lent_Fee">#REF!</definedName>
    <definedName name="Local_Lent_Fee">#REF!</definedName>
    <definedName name="LOLD">1</definedName>
    <definedName name="LOLD_Table">19</definedName>
    <definedName name="LP_SZ">#REF!</definedName>
    <definedName name="LVL_DTL">#REF!</definedName>
    <definedName name="MakeIt">#REF!</definedName>
    <definedName name="MANY_BOX_FOLK_FEE">#REF!</definedName>
    <definedName name="Masan_Car_Help_Fee">#REF!</definedName>
    <definedName name="MAST">#N/A</definedName>
    <definedName name="matrix">#REF!</definedName>
    <definedName name="MATRIX2">#REF!</definedName>
    <definedName name="mc">#REF!</definedName>
    <definedName name="MC_SZ">#REF!</definedName>
    <definedName name="MDAN01">#REF!</definedName>
    <definedName name="MerBod1">#REF!</definedName>
    <definedName name="MerBod2">#REF!</definedName>
    <definedName name="MerSup1">#REF!</definedName>
    <definedName name="MerSup2">#REF!</definedName>
    <definedName name="MerWmt1">#REF!</definedName>
    <definedName name="MerWmt2">#REF!</definedName>
    <definedName name="mi">#REF!</definedName>
    <definedName name="minus">#REF!</definedName>
    <definedName name="MODEL">#N/A</definedName>
    <definedName name="Monthly_Car_Fee">#REF!</definedName>
    <definedName name="Months">#REF!</definedName>
    <definedName name="Morning">#REF!</definedName>
    <definedName name="MSTemporarySelectionAverage">#REF!</definedName>
    <definedName name="MSTemporarySelectionFAVG">#REF!</definedName>
    <definedName name="MTAREA">#REF!</definedName>
    <definedName name="MTRDATA">#REF!</definedName>
    <definedName name="MTRTT">#REF!</definedName>
    <definedName name="MULT">#REF!</definedName>
    <definedName name="N">#REF!</definedName>
    <definedName name="NABGILL">#N/A</definedName>
    <definedName name="NAME">#REF!</definedName>
    <definedName name="NATION">#N/A</definedName>
    <definedName name="National_swic">"CS_IND!B$346"</definedName>
    <definedName name="NEW_BDS">#REF!</definedName>
    <definedName name="NEW_SCS">#REF!</definedName>
    <definedName name="NEW_SMS">#REF!</definedName>
    <definedName name="NEW_STRT">#REF!</definedName>
    <definedName name="NEW_UNIT_1ST_YR___OPEN">#REF!</definedName>
    <definedName name="NEW_UNT_BSE_CLL">#REF!</definedName>
    <definedName name="NEW_UNT_PRFL">#REF!</definedName>
    <definedName name="NEW_UNT_PRFL_LNCD">#REF!</definedName>
    <definedName name="NEW_UNT_PRFL_SHRT_LNCD">#REF!</definedName>
    <definedName name="NEW_UNT_TBL">#REF!</definedName>
    <definedName name="NEW_UNT_TBL_UP_LFT">#REF!</definedName>
    <definedName name="Nhood">#REF!</definedName>
    <definedName name="nightshift">#REF!</definedName>
    <definedName name="nightsly">#REF!</definedName>
    <definedName name="Nikka">#REF!</definedName>
    <definedName name="No">#REF!</definedName>
    <definedName name="nszmi">#REF!</definedName>
    <definedName name="nszri">#REF!</definedName>
    <definedName name="nwc">#REF!</definedName>
    <definedName name="ON_B_05Ad추정" localSheetId="1" hidden="1">{#N/A,#N/A,FALSE,"Sheet1";#N/A,#N/A,FALSE,"Sheet1";#N/A,#N/A,FALSE,"Sheet1"}</definedName>
    <definedName name="ON_B_05Ad추정" localSheetId="7" hidden="1">{#N/A,#N/A,FALSE,"Sheet1";#N/A,#N/A,FALSE,"Sheet1";#N/A,#N/A,FALSE,"Sheet1"}</definedName>
    <definedName name="ON_B_05Ad추정" hidden="1">{#N/A,#N/A,FALSE,"Sheet1";#N/A,#N/A,FALSE,"Sheet1";#N/A,#N/A,FALSE,"Sheet1"}</definedName>
    <definedName name="OP_SZ">#REF!</definedName>
    <definedName name="opi" localSheetId="1" hidden="1">{"'BS'!$C$10"}</definedName>
    <definedName name="opi" localSheetId="7" hidden="1">{"'BS'!$C$10"}</definedName>
    <definedName name="opi" hidden="1">{"'BS'!$C$10"}</definedName>
    <definedName name="Organization">#REF!</definedName>
    <definedName name="OrgCode">#REF!</definedName>
    <definedName name="PAD">#REF!</definedName>
    <definedName name="Part_Time_Overtime_Fee">#REF!</definedName>
    <definedName name="Part_Time_Picking_Fee">#REF!</definedName>
    <definedName name="PATHNAME">#REF!</definedName>
    <definedName name="PBC">#REF!</definedName>
    <definedName name="PBC_List">#REF!</definedName>
    <definedName name="PDAN01">#REF!</definedName>
    <definedName name="PDAN02">#REF!</definedName>
    <definedName name="PDCLEAR">#REF!</definedName>
    <definedName name="PDTDATA">#REF!</definedName>
    <definedName name="pessimistic">#REF!</definedName>
    <definedName name="PFMS" localSheetId="1" hidden="1">{#N/A,#N/A,FALSE,"Sheet1";#N/A,#N/A,FALSE,"Sheet1";#N/A,#N/A,FALSE,"Sheet1"}</definedName>
    <definedName name="PFMS" localSheetId="7" hidden="1">{#N/A,#N/A,FALSE,"Sheet1";#N/A,#N/A,FALSE,"Sheet1";#N/A,#N/A,FALSE,"Sheet1"}</definedName>
    <definedName name="PFMS" hidden="1">{#N/A,#N/A,FALSE,"Sheet1";#N/A,#N/A,FALSE,"Sheet1";#N/A,#N/A,FALSE,"Sheet1"}</definedName>
    <definedName name="PFMS1" localSheetId="1" hidden="1">{#N/A,#N/A,FALSE,"Sheet1";#N/A,#N/A,FALSE,"Sheet1";#N/A,#N/A,FALSE,"Sheet1"}</definedName>
    <definedName name="PFMS1" localSheetId="7" hidden="1">{#N/A,#N/A,FALSE,"Sheet1";#N/A,#N/A,FALSE,"Sheet1";#N/A,#N/A,FALSE,"Sheet1"}</definedName>
    <definedName name="PFMS1" hidden="1">{#N/A,#N/A,FALSE,"Sheet1";#N/A,#N/A,FALSE,"Sheet1";#N/A,#N/A,FALSE,"Sheet1"}</definedName>
    <definedName name="piuy">#REF!</definedName>
    <definedName name="PLN_FMTS">#REF!</definedName>
    <definedName name="PLN_LVL">#REF!</definedName>
    <definedName name="plp">#REF!</definedName>
    <definedName name="pm" localSheetId="1" hidden="1">{#N/A,#N/A,FALSE,"Sheet1";#N/A,#N/A,FALSE,"Sheet1";#N/A,#N/A,FALSE,"Sheet1"}</definedName>
    <definedName name="pm" localSheetId="7" hidden="1">{#N/A,#N/A,FALSE,"Sheet1";#N/A,#N/A,FALSE,"Sheet1";#N/A,#N/A,FALSE,"Sheet1"}</definedName>
    <definedName name="pm" hidden="1">{#N/A,#N/A,FALSE,"Sheet1";#N/A,#N/A,FALSE,"Sheet1";#N/A,#N/A,FALSE,"Sheet1"}</definedName>
    <definedName name="pop" localSheetId="1" hidden="1">{"'BS'!$C$10"}</definedName>
    <definedName name="pop" localSheetId="7" hidden="1">{"'BS'!$C$10"}</definedName>
    <definedName name="pop" hidden="1">{"'BS'!$C$10"}</definedName>
    <definedName name="Poppy">#REF!</definedName>
    <definedName name="por4c1r37c15RTm0TB0TB0TB0TB4.8T">#REF!</definedName>
    <definedName name="PPAID">#REF!</definedName>
    <definedName name="PRICE">#N/A</definedName>
    <definedName name="_xlnm.Print_Area" localSheetId="1">'0. 개정검토이력'!$B$1:$F$38</definedName>
    <definedName name="_xlnm.Print_Area" localSheetId="7">'3. Ethics 리스크 통제'!#REF!</definedName>
    <definedName name="PRINT_AREA_MI1">#REF!</definedName>
    <definedName name="_xlnm.Print_Titles">#N/A</definedName>
    <definedName name="PRINT_TITLES_MI">#N/A</definedName>
    <definedName name="PROCEEDS">#REF!</definedName>
    <definedName name="PRODEEDS">#REF!</definedName>
    <definedName name="ProjectName" localSheetId="1">{"Client Name or Project Name"}</definedName>
    <definedName name="ProjectName" localSheetId="7">{"Client Name or Project Name"}</definedName>
    <definedName name="ProjectName">{"Client Name or Project Name"}</definedName>
    <definedName name="PT_RD">#REF!</definedName>
    <definedName name="PT1_1">#REF!</definedName>
    <definedName name="ptmc">#REF!</definedName>
    <definedName name="ptshon">#REF!</definedName>
    <definedName name="ptshwh">#REF!</definedName>
    <definedName name="Puchon_EDPS_Fee">#REF!</definedName>
    <definedName name="Puchon_Picking_Fee">#REF!</definedName>
    <definedName name="ranh702">#REF!</definedName>
    <definedName name="RDMT01">#REF!</definedName>
    <definedName name="_xlnm.Recorder">#REF!</definedName>
    <definedName name="RENT_FACTOR">#REF!</definedName>
    <definedName name="Reset">#REF!</definedName>
    <definedName name="ROI">#REF!</definedName>
    <definedName name="rrr">#REF!</definedName>
    <definedName name="rrrr">#REF!</definedName>
    <definedName name="s">#N/A</definedName>
    <definedName name="Sales">#REF!</definedName>
    <definedName name="sales1">#REF!</definedName>
    <definedName name="sales2">#REF!</definedName>
    <definedName name="SAMSCLUBYR1">#REF!</definedName>
    <definedName name="SAMSCLUBYR2">#REF!</definedName>
    <definedName name="SAMSCLUBYR3">#REF!</definedName>
    <definedName name="SAMSCLUBYR4">#REF!</definedName>
    <definedName name="SAMSCLUBYR5">#REF!</definedName>
    <definedName name="Samyang_Fee">#REF!</definedName>
    <definedName name="SAPBEXhrIndnt" hidden="1">"Wide"</definedName>
    <definedName name="SAPBEXrevision" hidden="1">1</definedName>
    <definedName name="SAPBEXsysID" hidden="1">"BWP"</definedName>
    <definedName name="SAPBEXwbID" hidden="1">"A2RBKAP6E6SA9FOYQCES58F1G"</definedName>
    <definedName name="SAPsysID" hidden="1">"708C5W7SBKP804JT78WJ0JNKI"</definedName>
    <definedName name="SAPwbID" hidden="1">"ARS"</definedName>
    <definedName name="SB">#REF!</definedName>
    <definedName name="SC_NUMTIX_YR1">#REF!</definedName>
    <definedName name="SC_SQFT_PER_UNT">#REF!</definedName>
    <definedName name="SC_SQFT_UNT">#REF!</definedName>
    <definedName name="Scenario">#REF!</definedName>
    <definedName name="Scenario2">#REF!</definedName>
    <definedName name="seawolf_TRadder">#REF!</definedName>
    <definedName name="sell2">#REF!</definedName>
    <definedName name="sell3">#REF!</definedName>
    <definedName name="shukou">#REF!</definedName>
    <definedName name="SLS_FCTRS">#REF!</definedName>
    <definedName name="SLS_GRWTH">#REF!</definedName>
    <definedName name="SLS_GRWTH_MODE">#REF!</definedName>
    <definedName name="SLS_GRWTH_MODE_II">#REF!</definedName>
    <definedName name="SM">#REF!</definedName>
    <definedName name="SM_SQFT_PER_UNT">#REF!</definedName>
    <definedName name="SM_SQFT_UNT">#REF!</definedName>
    <definedName name="SMALL_BOX_FORK_FEE">#REF!</definedName>
    <definedName name="SMP">#REF!</definedName>
    <definedName name="SP">#REF!</definedName>
    <definedName name="SRP">#REF!</definedName>
    <definedName name="ss">#REF!</definedName>
    <definedName name="SSS">#REF!</definedName>
    <definedName name="start">#REF!</definedName>
    <definedName name="start1">#REF!</definedName>
    <definedName name="STB보조금배부">#REF!</definedName>
    <definedName name="STR_TBL_HGH_LFT">#REF!</definedName>
    <definedName name="SUJUILL">#N/A</definedName>
    <definedName name="SUJUJA">#N/A</definedName>
    <definedName name="SUJUNO">#N/A</definedName>
    <definedName name="sum">#REF!</definedName>
    <definedName name="Summer_Uniform">#REF!</definedName>
    <definedName name="sumtra">#REF!</definedName>
    <definedName name="sumtrad">#REF!</definedName>
    <definedName name="SUMVAL">#REF!</definedName>
    <definedName name="SUPERCENTERYR1">#REF!</definedName>
    <definedName name="SUPERCENTERYR2">#REF!</definedName>
    <definedName name="SUPERCENTERYR3">#REF!</definedName>
    <definedName name="SUPERCENTERYR4">#REF!</definedName>
    <definedName name="SUPERCENTERYR5">#REF!</definedName>
    <definedName name="T1_">#N/A</definedName>
    <definedName name="T2_">#N/A</definedName>
    <definedName name="TAX">#REF!</definedName>
    <definedName name="TEST_SALES1">#REF!</definedName>
    <definedName name="TEST_SALES2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RefCopy1">#REF!</definedName>
    <definedName name="TextRefCopy10">#REF!</definedName>
    <definedName name="TextRefCopy15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9">#REF!</definedName>
    <definedName name="TextRefCopyRangeCount" hidden="1">5</definedName>
    <definedName name="TimeBase">#REF!</definedName>
    <definedName name="Title">#REF!</definedName>
    <definedName name="TOP5_1">#REF!</definedName>
    <definedName name="TOP5_2">#REF!</definedName>
    <definedName name="TOP5_3">#REF!</definedName>
    <definedName name="TOP5_4">#REF!</definedName>
    <definedName name="TOP5_5">#REF!</definedName>
    <definedName name="Total_Debt">#REF!+#REF!</definedName>
    <definedName name="TT">#REF!</definedName>
    <definedName name="TXAREA">#REF!</definedName>
    <definedName name="uf">#REF!</definedName>
    <definedName name="ui">#REF!</definedName>
    <definedName name="UNIT_INV____BLDG">#REF!</definedName>
    <definedName name="UNIT_INV____FIX_EQUIP">#REF!</definedName>
    <definedName name="UNIT_INV____LAND">#REF!</definedName>
    <definedName name="UPG_PN">#REF!</definedName>
    <definedName name="USD">#REF!</definedName>
    <definedName name="valpre">#REF!</definedName>
    <definedName name="valtra">#REF!</definedName>
    <definedName name="VFB">#REF!</definedName>
    <definedName name="VP">#REF!</definedName>
    <definedName name="W_FX_98">#REF!</definedName>
    <definedName name="W_FX_99">#REF!</definedName>
    <definedName name="WACC">#REF!</definedName>
    <definedName name="WBMIN">#REF!</definedName>
    <definedName name="wc">#REF!</definedName>
    <definedName name="WHAT">#REF!</definedName>
    <definedName name="WHL">#REF!</definedName>
    <definedName name="Winter_Uniform">#REF!</definedName>
    <definedName name="WM">#REF!</definedName>
    <definedName name="Worker_Food_Fee">#REF!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localSheetId="7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플랜트조직변경에따른인원변동." localSheetId="1" hidden="1">{#N/A,#N/A,FALSE,"Sheet1";#N/A,#N/A,FALSE,"Sheet1";#N/A,#N/A,FALSE,"Sheet1"}</definedName>
    <definedName name="wrn.플랜트조직변경에따른인원변동." localSheetId="7" hidden="1">{#N/A,#N/A,FALSE,"Sheet1";#N/A,#N/A,FALSE,"Sheet1";#N/A,#N/A,FALSE,"Sheet1"}</definedName>
    <definedName name="wrn.플랜트조직변경에따른인원변동." hidden="1">{#N/A,#N/A,FALSE,"Sheet1";#N/A,#N/A,FALSE,"Sheet1";#N/A,#N/A,FALSE,"Sheet1"}</definedName>
    <definedName name="X44A1">#REF!</definedName>
    <definedName name="XL">#REF!</definedName>
    <definedName name="XRefColumnsCount" hidden="1">9</definedName>
    <definedName name="XRefCopyRangeCount" hidden="1">3</definedName>
    <definedName name="XRefPaste100Row" hidden="1">#REF!</definedName>
    <definedName name="XRefPaste101Row" hidden="1">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Row" hidden="1">#REF!</definedName>
    <definedName name="XRefPaste117Row" hidden="1">#REF!</definedName>
    <definedName name="XRefPaste118Row" hidden="1">#REF!</definedName>
    <definedName name="XRefPaste119Row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Row" hidden="1">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89Row" hidden="1">#REF!</definedName>
    <definedName name="XRefPaste90Row" hidden="1">#REF!</definedName>
    <definedName name="XRefPaste91Row" hidden="1">#REF!</definedName>
    <definedName name="XRefPaste92Row" hidden="1">#REF!</definedName>
    <definedName name="XRefPaste93Row" hidden="1">#REF!</definedName>
    <definedName name="XRefPaste94Row" hidden="1">#REF!</definedName>
    <definedName name="XRefPaste95Row" hidden="1">#REF!</definedName>
    <definedName name="XRefPaste96Row" hidden="1">#REF!</definedName>
    <definedName name="XRefPaste97Row" hidden="1">#REF!</definedName>
    <definedName name="XRefPaste98Row" hidden="1">#REF!</definedName>
    <definedName name="XRefPaste99Row" hidden="1">#REF!</definedName>
    <definedName name="XRefPasteRangeCount" hidden="1">246</definedName>
    <definedName name="XTMODE실적.CA1TBR10C8R17C31TBR1">#REF!</definedName>
    <definedName name="XTMODE실적.PCTBR29C6R31C29TBR20">#REF!</definedName>
    <definedName name="XTMODE실적.게TBR7C8R7C31TBR211C">#REF!</definedName>
    <definedName name="Yangji_Avg_Out_Qty">#REF!</definedName>
    <definedName name="Yangji_Dlvy_Fee">#REF!</definedName>
    <definedName name="Yangji_M_Office_Fee">#REF!</definedName>
    <definedName name="Yangji_M_Picking_Fee">#REF!</definedName>
    <definedName name="Yangsan_AVG_Out_QTY">#REF!</definedName>
    <definedName name="Yangsan_DLVY_Fee">#REF!</definedName>
    <definedName name="Yangsan_M_AVG_Fee">#REF!</definedName>
    <definedName name="YEJUNILL">#N/A</definedName>
    <definedName name="YES_NO">#REF!</definedName>
    <definedName name="yp">#REF!</definedName>
    <definedName name="YR.1">#REF!</definedName>
    <definedName name="YRS_TO_INFLATION">#REF!</definedName>
    <definedName name="가나">#REF!</definedName>
    <definedName name="각" localSheetId="1" hidden="1">{#N/A,#N/A,FALSE,"Sheet1";#N/A,#N/A,FALSE,"Sheet1";#N/A,#N/A,FALSE,"Sheet1"}</definedName>
    <definedName name="각" localSheetId="7" hidden="1">{#N/A,#N/A,FALSE,"Sheet1";#N/A,#N/A,FALSE,"Sheet1";#N/A,#N/A,FALSE,"Sheet1"}</definedName>
    <definedName name="각" hidden="1">{#N/A,#N/A,FALSE,"Sheet1";#N/A,#N/A,FALSE,"Sheet1";#N/A,#N/A,FALSE,"Sheet1"}</definedName>
    <definedName name="간식대">#REF!</definedName>
    <definedName name="갈">#REF!</definedName>
    <definedName name="감가2">#REF!</definedName>
    <definedName name="감가상각">#REF!</definedName>
    <definedName name="강까">#REF!</definedName>
    <definedName name="검품" localSheetId="1" hidden="1">{"'BS'!$C$10"}</definedName>
    <definedName name="검품" localSheetId="7" hidden="1">{"'BS'!$C$10"}</definedName>
    <definedName name="검품" hidden="1">{"'BS'!$C$10"}</definedName>
    <definedName name="결손금">#REF!</definedName>
    <definedName name="경매">#REF!</definedName>
    <definedName name="경매상황">#REF!</definedName>
    <definedName name="경비" localSheetId="1">{10}</definedName>
    <definedName name="경비" localSheetId="7">{10}</definedName>
    <definedName name="경비">{10}</definedName>
    <definedName name="경비2">#REF!</definedName>
    <definedName name="경비목적" localSheetId="1">{10}</definedName>
    <definedName name="경비목적" localSheetId="7">{10}</definedName>
    <definedName name="경비목적">{10}</definedName>
    <definedName name="계">#REF!</definedName>
    <definedName name="고객지역정보">#REF!</definedName>
    <definedName name="공통">#REF!</definedName>
    <definedName name="광주냉식캐파">#REF!</definedName>
    <definedName name="광주일반캐파">#REF!</definedName>
    <definedName name="구">#REF!</definedName>
    <definedName name="국가별">#REF!</definedName>
    <definedName name="귀">#REF!</definedName>
    <definedName name="근속">#REF!</definedName>
    <definedName name="금산수출">#REF!</definedName>
    <definedName name="기간">#REF!</definedName>
    <definedName name="기말수탁고">#REF!</definedName>
    <definedName name="기본">#REF!</definedName>
    <definedName name="기업">#REF!</definedName>
    <definedName name="기업자유_5103">#REF!</definedName>
    <definedName name="길">#REF!</definedName>
    <definedName name="김민재">#REF!</definedName>
    <definedName name="김시애">#REF!</definedName>
    <definedName name="까지" localSheetId="1">OFFSET(#REF!,#REF!-1,0,13-#REF!)</definedName>
    <definedName name="까지">OFFSET(#REF!,#REF!-1,0,13-#REF!)</definedName>
    <definedName name="ㄴ" localSheetId="1" hidden="1">{#N/A,#N/A,FALSE,"Sheet1";#N/A,#N/A,FALSE,"Sheet1";#N/A,#N/A,FALSE,"Sheet1"}</definedName>
    <definedName name="ㄴ" localSheetId="7" hidden="1">{#N/A,#N/A,FALSE,"Sheet1";#N/A,#N/A,FALSE,"Sheet1";#N/A,#N/A,FALSE,"Sheet1"}</definedName>
    <definedName name="ㄴ" hidden="1">{#N/A,#N/A,FALSE,"Sheet1";#N/A,#N/A,FALSE,"Sheet1";#N/A,#N/A,FALSE,"Sheet1"}</definedName>
    <definedName name="ㄴㄹㅇㄴ">#REF!</definedName>
    <definedName name="ㄴㅇㄹ">#REF!</definedName>
    <definedName name="ㄴㅇㄹㄴ">#REF!</definedName>
    <definedName name="나">#REF!</definedName>
    <definedName name="년___월___일_까지">#REF!</definedName>
    <definedName name="ㄷㄱㅈㄷㄱㅈㄷㄱㅈㄷ">#REF!</definedName>
    <definedName name="ㄷㄷ">#REF!</definedName>
    <definedName name="ㄷㄷㄷㄷ">#REF!</definedName>
    <definedName name="다">#REF!</definedName>
    <definedName name="단순합" localSheetId="1" hidden="1">{#N/A,#N/A,FALSE,"Sheet1";#N/A,#N/A,FALSE,"Sheet1";#N/A,#N/A,FALSE,"Sheet1"}</definedName>
    <definedName name="단순합" localSheetId="7" hidden="1">{#N/A,#N/A,FALSE,"Sheet1";#N/A,#N/A,FALSE,"Sheet1";#N/A,#N/A,FALSE,"Sheet1"}</definedName>
    <definedName name="단순합" hidden="1">{#N/A,#N/A,FALSE,"Sheet1";#N/A,#N/A,FALSE,"Sheet1";#N/A,#N/A,FALSE,"Sheet1"}</definedName>
    <definedName name="단위_백만원">#REF!</definedName>
    <definedName name="담보">#REF!</definedName>
    <definedName name="담보2">#REF!</definedName>
    <definedName name="담보평가액">#REF!</definedName>
    <definedName name="당좌예금_5102">#REF!</definedName>
    <definedName name="대구냉식캐파">#REF!</definedName>
    <definedName name="대구일반캐파">#REF!</definedName>
    <definedName name="대미환율">#REF!</definedName>
    <definedName name="대상">#REF!</definedName>
    <definedName name="대손참조">#REF!</definedName>
    <definedName name="대전냉식캐파">#REF!</definedName>
    <definedName name="대전수출">#REF!</definedName>
    <definedName name="대전일반캐파">#REF!</definedName>
    <definedName name="대차2">#REF!</definedName>
    <definedName name="대체거래">#REF!</definedName>
    <definedName name="대출잔액">#REF!</definedName>
    <definedName name="동원98년수수료">#REF!</definedName>
    <definedName name="동원수도권일반수수료">#REF!</definedName>
    <definedName name="ㄹ" localSheetId="1" hidden="1">{"'BS'!$C$10"}</definedName>
    <definedName name="ㄹ" localSheetId="7" hidden="1">{"'BS'!$C$10"}</definedName>
    <definedName name="ㄹ" hidden="1">{"'BS'!$C$10"}</definedName>
    <definedName name="ㄹㅇㄹㄴㄹㄷㅈ">#REF!</definedName>
    <definedName name="ㄹ혿ㅅㅎㄱㄷ">#REF!</definedName>
    <definedName name="라">#REF!</definedName>
    <definedName name="ㅁ1">#REF!</definedName>
    <definedName name="ㅁ188">#REF!</definedName>
    <definedName name="ㅁ220">#REF!</definedName>
    <definedName name="ㅁㅁ">#REF!</definedName>
    <definedName name="ㅁㅁㅁ">#REF!</definedName>
    <definedName name="마산냉식캐파">#REF!</definedName>
    <definedName name="마산일반캐파">#REF!</definedName>
    <definedName name="매출실적key">#REF!</definedName>
    <definedName name="매출실적月">#REF!</definedName>
    <definedName name="매출원가">#REF!</definedName>
    <definedName name="매출채권">#REF!</definedName>
    <definedName name="명세DATA">#REF!</definedName>
    <definedName name="명화">#REF!</definedName>
    <definedName name="명화2">#REF!</definedName>
    <definedName name="명화3">#REF!</definedName>
    <definedName name="명화5">#REF!</definedName>
    <definedName name="모델">#REF!</definedName>
    <definedName name="목표">#REF!</definedName>
    <definedName name="무담보">#REF!</definedName>
    <definedName name="물량증가율">#REF!</definedName>
    <definedName name="물량확보율">#REF!</definedName>
    <definedName name="미수이자">#REF!</definedName>
    <definedName name="미지급금">#REF!</definedName>
    <definedName name="미지급분쟁">#REF!</definedName>
    <definedName name="미지급분쟁대상">#REF!</definedName>
    <definedName name="미지급분쟁무">#REF!</definedName>
    <definedName name="미지급이자분쟁무">#REF!</definedName>
    <definedName name="ㅂ" localSheetId="1">{10}</definedName>
    <definedName name="ㅂ" localSheetId="7">{10}</definedName>
    <definedName name="ㅂ">{10}</definedName>
    <definedName name="배당표">#REF!</definedName>
    <definedName name="범위">#REF!</definedName>
    <definedName name="법인">#REF!</definedName>
    <definedName name="보수">#REF!</definedName>
    <definedName name="보수현황">#REF!</definedName>
    <definedName name="본부">#REF!</definedName>
    <definedName name="본부별배정">#REF!</definedName>
    <definedName name="본사비용">#REF!</definedName>
    <definedName name="부서코드">#REF!</definedName>
    <definedName name="부천일반캐파">#REF!</definedName>
    <definedName name="분개및수수료계상">#REF!</definedName>
    <definedName name="분쟁대상미지급">#REF!</definedName>
    <definedName name="블록">#REF!</definedName>
    <definedName name="비용거래">#REF!</definedName>
    <definedName name="비용배분">#REF!</definedName>
    <definedName name="사">#REF!</definedName>
    <definedName name="사랑">#REF!</definedName>
    <definedName name="사주">#REF!</definedName>
    <definedName name="살">#REF!</definedName>
    <definedName name="삼년초과">#REF!</definedName>
    <definedName name="상">#REF!</definedName>
    <definedName name="상식">#REF!</definedName>
    <definedName name="새거">#REF!</definedName>
    <definedName name="새로">#REF!</definedName>
    <definedName name="샌디">#N/A</definedName>
    <definedName name="성우" localSheetId="1" hidden="1">{#N/A,#N/A,FALSE,"Sheet1";#N/A,#N/A,FALSE,"Sheet1";#N/A,#N/A,FALSE,"Sheet1"}</definedName>
    <definedName name="성우" localSheetId="7" hidden="1">{#N/A,#N/A,FALSE,"Sheet1";#N/A,#N/A,FALSE,"Sheet1";#N/A,#N/A,FALSE,"Sheet1"}</definedName>
    <definedName name="성우" hidden="1">{#N/A,#N/A,FALSE,"Sheet1";#N/A,#N/A,FALSE,"Sheet1";#N/A,#N/A,FALSE,"Sheet1"}</definedName>
    <definedName name="세부내역">#REF!</definedName>
    <definedName name="세상">#REF!</definedName>
    <definedName name="소" localSheetId="1" hidden="1">{#N/A,#N/A,FALSE,"Sheet1";#N/A,#N/A,FALSE,"Sheet1";#N/A,#N/A,FALSE,"Sheet1"}</definedName>
    <definedName name="소" localSheetId="7" hidden="1">{#N/A,#N/A,FALSE,"Sheet1";#N/A,#N/A,FALSE,"Sheet1";#N/A,#N/A,FALSE,"Sheet1"}</definedName>
    <definedName name="소" hidden="1">{#N/A,#N/A,FALSE,"Sheet1";#N/A,#N/A,FALSE,"Sheet1";#N/A,#N/A,FALSE,"Sheet1"}</definedName>
    <definedName name="소모품내역">#REF!</definedName>
    <definedName name="속속ㄴㅅ">#REF!</definedName>
    <definedName name="손익2">#REF!</definedName>
    <definedName name="수금">#REF!</definedName>
    <definedName name="수금분석">#REF!</definedName>
    <definedName name="수선비세부내역">#REF!</definedName>
    <definedName name="수수료계상">#REF!</definedName>
    <definedName name="수신료">#REF!</definedName>
    <definedName name="수신료2">#REF!</definedName>
    <definedName name="수신료3">#REF!</definedName>
    <definedName name="수신료배부">#REF!</definedName>
    <definedName name="수정자료" localSheetId="1" hidden="1">{#N/A,#N/A,FALSE,"Sheet1";#N/A,#N/A,FALSE,"Sheet1";#N/A,#N/A,FALSE,"Sheet1"}</definedName>
    <definedName name="수정자료" localSheetId="7" hidden="1">{#N/A,#N/A,FALSE,"Sheet1";#N/A,#N/A,FALSE,"Sheet1";#N/A,#N/A,FALSE,"Sheet1"}</definedName>
    <definedName name="수정자료" hidden="1">{#N/A,#N/A,FALSE,"Sheet1";#N/A,#N/A,FALSE,"Sheet1";#N/A,#N/A,FALSE,"Sheet1"}</definedName>
    <definedName name="수출경비">#REF!</definedName>
    <definedName name="수탁고">#REF!</definedName>
    <definedName name="순서">#REF!</definedName>
    <definedName name="시산표">#REF!</definedName>
    <definedName name="시작">#REF!</definedName>
    <definedName name="신규냉식수수료">#REF!</definedName>
    <definedName name="신규일반수수료">#REF!</definedName>
    <definedName name="신장율배정">#REF!</definedName>
    <definedName name="신탁a">#REF!</definedName>
    <definedName name="신탁b">#REF!</definedName>
    <definedName name="신탁c">#REF!</definedName>
    <definedName name="신탁d">#REF!</definedName>
    <definedName name="신탁e">#REF!</definedName>
    <definedName name="신탁f">#REF!</definedName>
    <definedName name="신탁g">#REF!</definedName>
    <definedName name="신탁h">#REF!</definedName>
    <definedName name="신탁i">#REF!</definedName>
    <definedName name="신탁j">#REF!</definedName>
    <definedName name="실적">#REF!</definedName>
    <definedName name="실적01년">#REF!</definedName>
    <definedName name="실적key">#REF!</definedName>
    <definedName name="실적月">#REF!</definedName>
    <definedName name="십">#REF!</definedName>
    <definedName name="ㅇ" localSheetId="1" hidden="1">{"'BS'!$C$10"}</definedName>
    <definedName name="ㅇ" localSheetId="7" hidden="1">{"'BS'!$C$10"}</definedName>
    <definedName name="ㅇ" hidden="1">{"'BS'!$C$10"}</definedName>
    <definedName name="ㅇㄹㅇㄹ">#REF!</definedName>
    <definedName name="애경98년수수료">#REF!</definedName>
    <definedName name="애경지방수수료">#REF!</definedName>
    <definedName name="양산일반캐파">#REF!</definedName>
    <definedName name="양지_유류지원비">#REF!</definedName>
    <definedName name="양지일반캐파">#REF!</definedName>
    <definedName name="여유자금현황2">#REF!</definedName>
    <definedName name="연습용" localSheetId="1" hidden="1">{#N/A,#N/A,FALSE,"Sheet1";#N/A,#N/A,FALSE,"Sheet1";#N/A,#N/A,FALSE,"Sheet1"}</definedName>
    <definedName name="연습용" localSheetId="7" hidden="1">{#N/A,#N/A,FALSE,"Sheet1";#N/A,#N/A,FALSE,"Sheet1";#N/A,#N/A,FALSE,"Sheet1"}</definedName>
    <definedName name="연습용" hidden="1">{#N/A,#N/A,FALSE,"Sheet1";#N/A,#N/A,FALSE,"Sheet1";#N/A,#N/A,FALSE,"Sheet1"}</definedName>
    <definedName name="연초임">#REF!</definedName>
    <definedName name="영등포수출">#REF!</definedName>
    <definedName name="영업1본부">#REF!</definedName>
    <definedName name="영업2본부">#REF!</definedName>
    <definedName name="예상실적">#REF!</definedName>
    <definedName name="외국인급여">#REF!</definedName>
    <definedName name="외상매입금">#REF!</definedName>
    <definedName name="외화실제">#REF!</definedName>
    <definedName name="외화장기DATA">#REF!</definedName>
    <definedName name="외환a">#REF!</definedName>
    <definedName name="외환b">#REF!</definedName>
    <definedName name="외환c">#REF!</definedName>
    <definedName name="외환d">#REF!</definedName>
    <definedName name="외환e">#REF!</definedName>
    <definedName name="외환f">#REF!</definedName>
    <definedName name="외환g">#REF!</definedName>
    <definedName name="외환h">#REF!</definedName>
    <definedName name="외환i">#REF!</definedName>
    <definedName name="외환j">#REF!</definedName>
    <definedName name="월_판매">#REF!</definedName>
    <definedName name="월선택">#REF!</definedName>
    <definedName name="월차계획가급적">#REF!</definedName>
    <definedName name="유류지원비">#REF!</definedName>
    <definedName name="의정부일반캐파">#REF!</definedName>
    <definedName name="이">#REF!</definedName>
    <definedName name="이상">#REF!</definedName>
    <definedName name="이소영" hidden="1">#REF!</definedName>
    <definedName name="이자">#REF!</definedName>
    <definedName name="이자율">#REF!</definedName>
    <definedName name="이종화">#REF!</definedName>
    <definedName name="인간">#REF!</definedName>
    <definedName name="인건비배부">#REF!</definedName>
    <definedName name="인생">#REF!</definedName>
    <definedName name="인원수">#REF!</definedName>
    <definedName name="인천수출">#REF!</definedName>
    <definedName name="일반">#REF!</definedName>
    <definedName name="일반a">#REF!</definedName>
    <definedName name="일반b">#REF!</definedName>
    <definedName name="일반c">#REF!</definedName>
    <definedName name="일반d">#REF!</definedName>
    <definedName name="일반e">#REF!</definedName>
    <definedName name="일반f">#REF!</definedName>
    <definedName name="일반g">#REF!</definedName>
    <definedName name="일반h">#REF!</definedName>
    <definedName name="일반i">#REF!</definedName>
    <definedName name="일반j">#REF!</definedName>
    <definedName name="일반관리비">#REF!</definedName>
    <definedName name="일평균">#REF!</definedName>
    <definedName name="입력">#REF!</definedName>
    <definedName name="ㅈㄷ">#REF!</definedName>
    <definedName name="ㅈㅂㅈㅂ" localSheetId="1" hidden="1">{#N/A,#N/A,FALSE,"Sheet1";#N/A,#N/A,FALSE,"Sheet1";#N/A,#N/A,FALSE,"Sheet1"}</definedName>
    <definedName name="ㅈㅂㅈㅂ" localSheetId="7" hidden="1">{#N/A,#N/A,FALSE,"Sheet1";#N/A,#N/A,FALSE,"Sheet1";#N/A,#N/A,FALSE,"Sheet1"}</definedName>
    <definedName name="ㅈㅂㅈㅂ" hidden="1">{#N/A,#N/A,FALSE,"Sheet1";#N/A,#N/A,FALSE,"Sheet1";#N/A,#N/A,FALSE,"Sheet1"}</definedName>
    <definedName name="자금수지">#REF!</definedName>
    <definedName name="자산건전성">#REF!</definedName>
    <definedName name="자유">#REF!</definedName>
    <definedName name="재무비율">#REF!</definedName>
    <definedName name="전사">#REF!</definedName>
    <definedName name="조립일정8">#REF!</definedName>
    <definedName name="조정" hidden="1">#REF!</definedName>
    <definedName name="조직">#REF!</definedName>
    <definedName name="지급어음">#REF!</definedName>
    <definedName name="지보7">#REF!</definedName>
    <definedName name="지보약">#REF!</definedName>
    <definedName name="지입차량비_3.5톤">#REF!</definedName>
    <definedName name="차이">#REF!</definedName>
    <definedName name="차입">#REF!</definedName>
    <definedName name="차입금12월">#REF!</definedName>
    <definedName name="차종정보">#REF!</definedName>
    <definedName name="차주번호">#REF!</definedName>
    <definedName name="채권종류">#REF!</definedName>
    <definedName name="채널CGV2">#REF!</definedName>
    <definedName name="채널수_베이직">#REF!</definedName>
    <definedName name="채널수_자체채널">#REF!</definedName>
    <definedName name="채널수기준">#REF!</definedName>
    <definedName name="채무자번호">#REF!</definedName>
    <definedName name="체납">#REF!</definedName>
    <definedName name="초임">#REF!</definedName>
    <definedName name="총경비">#REF!</definedName>
    <definedName name="축소">#REF!</definedName>
    <definedName name="코드">#REF!</definedName>
    <definedName name="ㅍ77">#REF!</definedName>
    <definedName name="판매비">#REF!</definedName>
    <definedName name="평가손익2">#REF!</definedName>
    <definedName name="포상">#REF!</definedName>
    <definedName name="프랜트부문" localSheetId="1" hidden="1">{#N/A,#N/A,FALSE,"Sheet1";#N/A,#N/A,FALSE,"Sheet1";#N/A,#N/A,FALSE,"Sheet1"}</definedName>
    <definedName name="프랜트부문" localSheetId="7" hidden="1">{#N/A,#N/A,FALSE,"Sheet1";#N/A,#N/A,FALSE,"Sheet1";#N/A,#N/A,FALSE,"Sheet1"}</definedName>
    <definedName name="프랜트부문" hidden="1">{#N/A,#N/A,FALSE,"Sheet1";#N/A,#N/A,FALSE,"Sheet1";#N/A,#N/A,FALSE,"Sheet1"}</definedName>
    <definedName name="프로그램고급비용배부">#REF!</definedName>
    <definedName name="플랜트" localSheetId="1" hidden="1">{#N/A,#N/A,FALSE,"Sheet1";#N/A,#N/A,FALSE,"Sheet1";#N/A,#N/A,FALSE,"Sheet1"}</definedName>
    <definedName name="플랜트" localSheetId="7" hidden="1">{#N/A,#N/A,FALSE,"Sheet1";#N/A,#N/A,FALSE,"Sheet1";#N/A,#N/A,FALSE,"Sheet1"}</definedName>
    <definedName name="플랜트" hidden="1">{#N/A,#N/A,FALSE,"Sheet1";#N/A,#N/A,FALSE,"Sheet1";#N/A,#N/A,FALSE,"Sheet1"}</definedName>
    <definedName name="ㅎㄽ">#REF!</definedName>
    <definedName name="하반기">#REF!</definedName>
    <definedName name="합">#REF!</definedName>
    <definedName name="현금거래_5300">#REF!</definedName>
    <definedName name="현금출납장">#REF!</definedName>
    <definedName name="현대내자터미널">#REF!</definedName>
    <definedName name="현주">#REF!</definedName>
    <definedName name="확정일자">#REF!</definedName>
    <definedName name="회수율">#REF!</definedName>
    <definedName name="효과조정">#REF!</definedName>
    <definedName name="ㅑㅑ">#REF!</definedName>
    <definedName name="ㅓㅓㅓㅓ">#REF!</definedName>
    <definedName name="ㅓㅗㅓ호">#REF!</definedName>
    <definedName name="ㅗㅓㅅㅎ">#REF!</definedName>
    <definedName name="ㅠ">#REF!</definedName>
    <definedName name="現代綜合商事經由分">#REF!</definedName>
    <definedName name="計定明細.書2.A">#REF!</definedName>
    <definedName name="計定明細.書2.B">#REF!</definedName>
    <definedName name="計定明細.書2.D">#REF!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7" l="1"/>
  <c r="H15" i="7"/>
  <c r="H14" i="7"/>
  <c r="H13" i="7"/>
  <c r="H12" i="7"/>
  <c r="H11" i="7"/>
  <c r="H10" i="7"/>
  <c r="H9" i="7"/>
  <c r="H8" i="7"/>
  <c r="H7" i="7"/>
  <c r="H6" i="7"/>
  <c r="P19" i="8"/>
  <c r="O19" i="8"/>
  <c r="P18" i="8"/>
  <c r="P17" i="8"/>
  <c r="T15" i="8"/>
  <c r="S15" i="8"/>
  <c r="R15" i="8"/>
  <c r="Q15" i="8"/>
  <c r="P15" i="8"/>
  <c r="O15" i="8"/>
  <c r="T14" i="8"/>
  <c r="S14" i="8"/>
  <c r="R14" i="8"/>
  <c r="Q14" i="8"/>
  <c r="P14" i="8"/>
  <c r="O14" i="8"/>
  <c r="T13" i="8"/>
  <c r="T12" i="8"/>
  <c r="T11" i="8"/>
  <c r="T10" i="8"/>
  <c r="T9" i="8"/>
  <c r="T8" i="8"/>
  <c r="T7" i="8"/>
  <c r="T6" i="8"/>
  <c r="T5" i="8"/>
  <c r="T4" i="8"/>
  <c r="I13" i="7"/>
  <c r="I16" i="7"/>
  <c r="I8" i="7"/>
  <c r="I12" i="7"/>
  <c r="I9" i="7"/>
  <c r="I7" i="7"/>
  <c r="I14" i="7"/>
  <c r="I11" i="7"/>
  <c r="I10" i="7"/>
  <c r="I15" i="7"/>
  <c r="I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tc={34367A89-67BB-469C-AB21-CA064B73F9C6}</author>
    <author>tc={60F1B2BC-8501-4BBD-ACE6-C26C52FAE340}</author>
    <author>tc={EC435E2C-6B54-449F-8AAB-219586F87D9D}</author>
    <author>tc={C150852F-CE80-4943-9CDE-57BF20C84734}</author>
  </authors>
  <commentList>
    <comment ref="F3" authorId="0" shapeId="0" xr:uid="{34367A89-67BB-469C-AB21-CA064B73F9C6}">
      <text>
        <t>[Threaded comment]
Your version of Excel allows you to read this threaded comment; however, any edits to it will get removed if the file is opened in a newer version of Excel. Learn more: https://go.microsoft.com/fwlink/?linkid=870924
Comment:
    1-5에서 선택</t>
      </text>
    </comment>
    <comment ref="G3" authorId="1" shapeId="0" xr:uid="{60F1B2BC-8501-4BBD-ACE6-C26C52FAE340}">
      <text>
        <t>[Threaded comment]
Your version of Excel allows you to read this threaded comment; however, any edits to it will get removed if the file is opened in a newer version of Excel. Learn more: https://go.microsoft.com/fwlink/?linkid=870924
Comment:
    1-5에서 선택</t>
      </text>
    </comment>
    <comment ref="I3" authorId="2" shapeId="0" xr:uid="{EC435E2C-6B54-449F-8AAB-219586F87D9D}">
      <text>
        <t>[Threaded comment]
Your version of Excel allows you to read this threaded comment; however, any edits to it will get removed if the file is opened in a newer version of Excel. Learn more: https://go.microsoft.com/fwlink/?linkid=870924
Comment:
    Risk 척도는 5단계이며, MH이상 위험이 20~30%이상 될 수 있도록 분류를 요청드립니다. 
VH(Very High), H(High), H(Medium High), , M(Medium), L(Low)</t>
      </text>
    </comment>
    <comment ref="K3" authorId="3" shapeId="0" xr:uid="{C150852F-CE80-4943-9CDE-57BF20C84734}">
      <text>
        <t>[Threaded comment]
Your version of Excel allows you to read this threaded comment; however, any edits to it will get removed if the file is opened in a newer version of Excel. Learn more: https://go.microsoft.com/fwlink/?linkid=870924
Comment:
    MH이상인 경우에 통제방안2도 작성 = RISK를 L이나 M으로 평가시 통제2는 작성하지 않아도 무방함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tc={C5621E9E-A02E-4703-B97B-1A1C6FF7F1C1}</author>
  </authors>
  <commentList>
    <comment ref="E3" authorId="0" shapeId="0" xr:uid="{C5621E9E-A02E-4703-B97B-1A1C6FF7F1C1}">
      <text>
        <t>[Threaded comment]
Your version of Excel allows you to read this threaded comment; however, any edits to it will get removed if the file is opened in a newer version of Excel. Learn more: https://go.microsoft.com/fwlink/?linkid=870924
Comment:
    가급적 Specific, Measurable, Achievable, Relevant, Time-bound 원칙으로 작성</t>
      </text>
    </comment>
  </commentList>
</comments>
</file>

<file path=xl/sharedStrings.xml><?xml version="1.0" encoding="utf-8"?>
<sst xmlns="http://schemas.openxmlformats.org/spreadsheetml/2006/main" count="879" uniqueCount="550">
  <si>
    <t>행 레이블</t>
  </si>
  <si>
    <t>개수 : 적용부서</t>
  </si>
  <si>
    <t>Accounting팀</t>
  </si>
  <si>
    <t>Treasury팀</t>
  </si>
  <si>
    <t>IR/PR팀</t>
  </si>
  <si>
    <t>HRM팀</t>
  </si>
  <si>
    <t>Tax팀</t>
  </si>
  <si>
    <t>CP팀</t>
  </si>
  <si>
    <t>ESG팀</t>
  </si>
  <si>
    <t>Compliance&amp;SA팀</t>
  </si>
  <si>
    <t>Legal팀</t>
  </si>
  <si>
    <t>HRD팀</t>
  </si>
  <si>
    <t>전 팀</t>
  </si>
  <si>
    <t>NEXT팀</t>
  </si>
  <si>
    <t>총합계</t>
  </si>
  <si>
    <r>
      <rPr>
        <b/>
        <sz val="20"/>
        <color theme="1"/>
        <rFont val="맑은 고딕"/>
        <family val="2"/>
        <charset val="129"/>
      </rPr>
      <t>CP</t>
    </r>
    <r>
      <rPr>
        <b/>
        <sz val="20"/>
        <color theme="1"/>
        <rFont val="Noto Sans CJK KR Medium"/>
        <family val="2"/>
        <charset val="129"/>
      </rPr>
      <t>팀 Ethics &amp; Compliance 자율준수 활동서</t>
    </r>
    <phoneticPr fontId="2" type="noConversion"/>
  </si>
  <si>
    <t>검토일자</t>
    <phoneticPr fontId="2" type="noConversion"/>
  </si>
  <si>
    <t>팀명</t>
    <phoneticPr fontId="2" type="noConversion"/>
  </si>
  <si>
    <t>팀장 이름</t>
    <phoneticPr fontId="2" type="noConversion"/>
  </si>
  <si>
    <t>CA 이름</t>
    <phoneticPr fontId="2" type="noConversion"/>
  </si>
  <si>
    <t>주요 갱신내용</t>
    <phoneticPr fontId="2" type="noConversion"/>
  </si>
  <si>
    <t>CP팀</t>
    <phoneticPr fontId="2" type="noConversion"/>
  </si>
  <si>
    <t>김태훈 팀장</t>
    <phoneticPr fontId="2" type="noConversion"/>
  </si>
  <si>
    <t>조혜은 수석</t>
    <phoneticPr fontId="2" type="noConversion"/>
  </si>
  <si>
    <t>신규수립</t>
    <phoneticPr fontId="2" type="noConversion"/>
  </si>
  <si>
    <t>김태훈 팀장</t>
  </si>
  <si>
    <t>조혜은 수석</t>
  </si>
  <si>
    <t>의무등록부 수정, 자가모니터링</t>
  </si>
  <si>
    <t>두산밥캣</t>
    <phoneticPr fontId="2" type="noConversion"/>
  </si>
  <si>
    <t>컴플라이언스 의무(사업관련 주요법규 식별 및 리스크평가 대상) 등록부  (법률의 경우 www.law.go.kr / 사규의 경우 인트라넷 Rule &amp; Policy 참고)</t>
    <phoneticPr fontId="2" type="noConversion"/>
  </si>
  <si>
    <t>No</t>
    <phoneticPr fontId="2" type="noConversion"/>
  </si>
  <si>
    <t>분야</t>
    <phoneticPr fontId="2" type="noConversion"/>
  </si>
  <si>
    <t>법률명</t>
    <phoneticPr fontId="2" type="noConversion"/>
  </si>
  <si>
    <t>약칭</t>
    <phoneticPr fontId="2" type="noConversion"/>
  </si>
  <si>
    <t>시행일
(Update:2025.12.10)</t>
    <phoneticPr fontId="2" type="noConversion"/>
  </si>
  <si>
    <t>관련 이해관계자</t>
    <phoneticPr fontId="2" type="noConversion"/>
  </si>
  <si>
    <t>적용부서</t>
    <phoneticPr fontId="2" type="noConversion"/>
  </si>
  <si>
    <t>관련규정(사규)</t>
    <phoneticPr fontId="2" type="noConversion"/>
  </si>
  <si>
    <t>부패방지</t>
    <phoneticPr fontId="2" type="noConversion"/>
  </si>
  <si>
    <t>부정청탁 및 금품등 수수의 금지에 관한 법률</t>
  </si>
  <si>
    <t>청탁금지법
FCPA, Bribery Act</t>
    <phoneticPr fontId="2" type="noConversion"/>
  </si>
  <si>
    <t>2025.01.21.</t>
    <phoneticPr fontId="2" type="noConversion"/>
  </si>
  <si>
    <t>공정거래조정원 평가관, 공정거래위원회 협약평가 담당자, 공정거래위원회 조사관, 동반성장위원회 평가부 평가담당자, 대중소농어업협력재단 평가담당자, ISO 심사자</t>
    <phoneticPr fontId="2" type="noConversion"/>
  </si>
  <si>
    <t>Code of Conduct
위임전결규정
ABMS 규정
반부패/뇌물방지 규정</t>
    <phoneticPr fontId="2" type="noConversion"/>
  </si>
  <si>
    <t>공정거래/하도급</t>
    <phoneticPr fontId="2" type="noConversion"/>
  </si>
  <si>
    <t>독점규제 및 공정거래에 관한 법률</t>
    <phoneticPr fontId="2" type="noConversion"/>
  </si>
  <si>
    <t>공정거래법</t>
  </si>
  <si>
    <r>
      <rPr>
        <strike/>
        <sz val="10"/>
        <rFont val="맑은 고딕"/>
        <family val="3"/>
        <charset val="129"/>
        <scheme val="minor"/>
      </rPr>
      <t>2025.01.21.</t>
    </r>
    <r>
      <rPr>
        <sz val="10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 xml:space="preserve">2025.10.1. </t>
    </r>
    <phoneticPr fontId="2" type="noConversion"/>
  </si>
  <si>
    <t>공정거래조정원 평가관, 공정거래위원회 협약평가 담당자, 공정거래위원회 조사관, 동반성장위원회 평가부 평가담당자, 대중소농어업협력재단 평가담당자, 협력업체 동반성장 담당직원</t>
    <phoneticPr fontId="2" type="noConversion"/>
  </si>
  <si>
    <t>내부거래관리규정</t>
    <phoneticPr fontId="2" type="noConversion"/>
  </si>
  <si>
    <t>독점규제 및 공정거래에 관한 법률
하도급거래 공정화에 관한 법률
대·중소기업 상생협력 촉진에 관한 법률
대리점거래의 공정화에 관한 법률</t>
    <phoneticPr fontId="2" type="noConversion"/>
  </si>
  <si>
    <t>공정거래법
하도급법
상생협력법
대리점법</t>
    <phoneticPr fontId="2" type="noConversion"/>
  </si>
  <si>
    <r>
      <rPr>
        <strike/>
        <sz val="10"/>
        <color theme="1"/>
        <rFont val="맑은 고딕"/>
        <family val="3"/>
        <charset val="129"/>
        <scheme val="minor"/>
      </rPr>
      <t>2025.01.21.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>2025.10.1</t>
    </r>
    <r>
      <rPr>
        <sz val="10"/>
        <color theme="1"/>
        <rFont val="맑은 고딕"/>
        <family val="3"/>
        <charset val="129"/>
        <scheme val="minor"/>
      </rPr>
      <t xml:space="preserve">. 
</t>
    </r>
    <r>
      <rPr>
        <strike/>
        <sz val="10"/>
        <color theme="1"/>
        <rFont val="맑은 고딕"/>
        <family val="3"/>
        <charset val="129"/>
        <scheme val="minor"/>
      </rPr>
      <t xml:space="preserve">2025.04.01.
</t>
    </r>
    <r>
      <rPr>
        <sz val="10"/>
        <color rgb="FFFF0000"/>
        <rFont val="맑은 고딕"/>
        <family val="3"/>
        <charset val="129"/>
        <scheme val="minor"/>
      </rPr>
      <t>2025. 10. 2.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trike/>
        <sz val="10"/>
        <color theme="1"/>
        <rFont val="맑은 고딕"/>
        <family val="3"/>
        <charset val="129"/>
        <scheme val="minor"/>
      </rPr>
      <t>2025.07.22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>2025.10.1.</t>
    </r>
    <r>
      <rPr>
        <sz val="10"/>
        <color theme="1"/>
        <rFont val="맑은 고딕"/>
        <family val="3"/>
        <charset val="129"/>
        <scheme val="minor"/>
      </rPr>
      <t xml:space="preserve">
2025.01.21.</t>
    </r>
    <phoneticPr fontId="2" type="noConversion"/>
  </si>
  <si>
    <t>자율준수프로그램 운영 규정
CMS규정</t>
    <phoneticPr fontId="2" type="noConversion"/>
  </si>
  <si>
    <t>개인정보</t>
    <phoneticPr fontId="2" type="noConversion"/>
  </si>
  <si>
    <t>개인정보보호법</t>
    <phoneticPr fontId="2" type="noConversion"/>
  </si>
  <si>
    <t>개인정보보호법</t>
  </si>
  <si>
    <r>
      <rPr>
        <strike/>
        <sz val="10"/>
        <color theme="1"/>
        <rFont val="맑은 고딕"/>
        <family val="3"/>
        <charset val="129"/>
        <scheme val="minor"/>
      </rPr>
      <t>2025.03.13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>2025.10.2.</t>
    </r>
    <phoneticPr fontId="2" type="noConversion"/>
  </si>
  <si>
    <t>협력업체 임직원 개인정보</t>
    <phoneticPr fontId="2" type="noConversion"/>
  </si>
  <si>
    <t>개인정보처리방침</t>
    <phoneticPr fontId="2" type="noConversion"/>
  </si>
  <si>
    <t>수출입</t>
    <phoneticPr fontId="2" type="noConversion"/>
  </si>
  <si>
    <t>대외무역법</t>
    <phoneticPr fontId="2" type="noConversion"/>
  </si>
  <si>
    <r>
      <rPr>
        <strike/>
        <sz val="10"/>
        <color theme="1"/>
        <rFont val="맑은 고딕"/>
        <family val="3"/>
        <charset val="129"/>
        <scheme val="minor"/>
      </rPr>
      <t>2024.08.21.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rgb="FFFF0000"/>
        <rFont val="맑은 고딕"/>
        <family val="3"/>
        <charset val="129"/>
        <scheme val="minor"/>
      </rPr>
      <t>2025.10.1.</t>
    </r>
    <phoneticPr fontId="2" type="noConversion"/>
  </si>
  <si>
    <t>무역거래 업체</t>
    <phoneticPr fontId="2" type="noConversion"/>
  </si>
  <si>
    <t>DDQ (거래처 실사 질문지)</t>
    <phoneticPr fontId="2" type="noConversion"/>
  </si>
  <si>
    <t>1. 컴플라이언스 의무 식별</t>
    <phoneticPr fontId="2" type="noConversion"/>
  </si>
  <si>
    <t>2-1. 리스크 평가</t>
    <phoneticPr fontId="2" type="noConversion"/>
  </si>
  <si>
    <t>2-2. 리스크 관리(통제 방법)</t>
    <phoneticPr fontId="2" type="noConversion"/>
  </si>
  <si>
    <t>3. 통제방안 효과성 모니터링(테스트 포함)</t>
    <phoneticPr fontId="2" type="noConversion"/>
  </si>
  <si>
    <t>컴플라이언스 
의무사항 (법/사규)</t>
    <phoneticPr fontId="2" type="noConversion"/>
  </si>
  <si>
    <t>리스크원인 및 상황</t>
    <phoneticPr fontId="2" type="noConversion"/>
  </si>
  <si>
    <t>의무 유지 관리 (연 1회)</t>
    <phoneticPr fontId="2" type="noConversion"/>
  </si>
  <si>
    <t>발생
가능성</t>
    <phoneticPr fontId="2" type="noConversion"/>
  </si>
  <si>
    <t>영향</t>
    <phoneticPr fontId="2" type="noConversion"/>
  </si>
  <si>
    <t>합계(A)</t>
    <phoneticPr fontId="2" type="noConversion"/>
  </si>
  <si>
    <t>결과(B)</t>
    <phoneticPr fontId="2" type="noConversion"/>
  </si>
  <si>
    <t>통제방안(1)</t>
    <phoneticPr fontId="2" type="noConversion"/>
  </si>
  <si>
    <t>통제방안(2)</t>
    <phoneticPr fontId="2" type="noConversion"/>
  </si>
  <si>
    <t>대상</t>
    <phoneticPr fontId="8" type="noConversion"/>
  </si>
  <si>
    <t>증빙자료</t>
    <phoneticPr fontId="2" type="noConversion"/>
  </si>
  <si>
    <t>모니터링 측정시기</t>
    <phoneticPr fontId="2" type="noConversion"/>
  </si>
  <si>
    <t>담당자</t>
    <phoneticPr fontId="2" type="noConversion"/>
  </si>
  <si>
    <t>ISO</t>
    <phoneticPr fontId="2" type="noConversion"/>
  </si>
  <si>
    <t>공정거래법
내부거래관리규정</t>
    <phoneticPr fontId="2" type="noConversion"/>
  </si>
  <si>
    <r>
      <t xml:space="preserve">공정거래법에서 금지하고 있는 </t>
    </r>
    <r>
      <rPr>
        <b/>
        <sz val="9"/>
        <rFont val="맑은 고딕"/>
        <family val="3"/>
        <charset val="129"/>
        <scheme val="minor"/>
      </rPr>
      <t>계열회사와 거래(내부거래)</t>
    </r>
    <r>
      <rPr>
        <sz val="9"/>
        <rFont val="맑은 고딕"/>
        <family val="3"/>
        <charset val="129"/>
        <scheme val="minor"/>
      </rPr>
      <t>를 할 때 부당지원행위를 행할 위험</t>
    </r>
    <phoneticPr fontId="2" type="noConversion"/>
  </si>
  <si>
    <t>Compliance Guide Book 및 정기News를 통해 내부거래 시 유의사항, 준수사항을 상시/수시 제공하고, 내부거래 시에는 사규에 따라 품의서를 작성한다. 사규상 정한 거래금액 이상일 경우에는 내부거래심의위원회를 통해 사전 심의하도록 한다.</t>
    <phoneticPr fontId="2" type="noConversion"/>
  </si>
  <si>
    <t>분기별로 내부거래 현황을 파악하여, 적정한 승인 절차를 거쳤는 지 모니터링하고 비정상적인 거래를 감지하여 내부거래의 투명성을 높인다.</t>
    <phoneticPr fontId="2" type="noConversion"/>
  </si>
  <si>
    <t>CP팀장은 통제방안 (1), (2) 내용이 적절하게 진행되었는지 확인한다</t>
    <phoneticPr fontId="2" type="noConversion"/>
  </si>
  <si>
    <t>공정거래 모니터링 결과 보고 (내부거래)</t>
    <phoneticPr fontId="2" type="noConversion"/>
  </si>
  <si>
    <t>6월, 12월</t>
    <phoneticPr fontId="2" type="noConversion"/>
  </si>
  <si>
    <t>v</t>
  </si>
  <si>
    <t>하도급법
상생협력법</t>
    <phoneticPr fontId="2" type="noConversion"/>
  </si>
  <si>
    <r>
      <t>하도급법에서 금지하고 있는</t>
    </r>
    <r>
      <rPr>
        <b/>
        <sz val="9"/>
        <rFont val="맑은 고딕"/>
        <family val="3"/>
        <charset val="129"/>
        <scheme val="minor"/>
      </rPr>
      <t xml:space="preserve"> 기술자료 요구제공 금지(제12조 3항) 를 위반할 위험</t>
    </r>
    <phoneticPr fontId="2" type="noConversion"/>
  </si>
  <si>
    <t>분기별로 기술자료 요구 시스템(Techbridge)의 현황을 모니터링하여 계약서 상의 기술자료 보관기간에 대한 준수를 지키게 한다</t>
    <phoneticPr fontId="2" type="noConversion"/>
  </si>
  <si>
    <t>CLO&amp;CCO에 분기별로 기술자료 요구시스템의 모니터링 결과를 보고하여 투명성을 유지한다</t>
    <phoneticPr fontId="2" type="noConversion"/>
  </si>
  <si>
    <t>공정거래 모니터링 결과 보고 (기술자료)</t>
    <phoneticPr fontId="2" type="noConversion"/>
  </si>
  <si>
    <r>
      <t xml:space="preserve">하도급법에서 금지하고 있는 </t>
    </r>
    <r>
      <rPr>
        <b/>
        <sz val="9"/>
        <rFont val="맑은 고딕"/>
        <family val="3"/>
        <charset val="129"/>
        <scheme val="minor"/>
      </rPr>
      <t>부당한 반품 금지(제11조)를 위반할 위험</t>
    </r>
    <phoneticPr fontId="2" type="noConversion"/>
  </si>
  <si>
    <t>분기별로 현업이 협력업체로부터 제품을 수령하고 부당한 반품행위를 하는지에 대한 모니터링을 실시한다</t>
    <phoneticPr fontId="2" type="noConversion"/>
  </si>
  <si>
    <t>CLO&amp;CCO에 분기별로 부당한 반품행위 현황 모니터링 결과를 보고하여 투명성을 유지한다</t>
    <phoneticPr fontId="2" type="noConversion"/>
  </si>
  <si>
    <t>공정거래 모니터링 결과 보고 (부당반품)</t>
    <phoneticPr fontId="2" type="noConversion"/>
  </si>
  <si>
    <t>6월, 12월</t>
  </si>
  <si>
    <r>
      <t xml:space="preserve">하도급법 및 상생법에서 금지하고 있는 </t>
    </r>
    <r>
      <rPr>
        <b/>
        <sz val="9"/>
        <rFont val="맑은 고딕"/>
        <family val="3"/>
        <charset val="129"/>
        <scheme val="minor"/>
      </rPr>
      <t>하도급대금 지급의무 (제13조)를 위반할 위험</t>
    </r>
    <phoneticPr fontId="2" type="noConversion"/>
  </si>
  <si>
    <t>분기별로 현업이 협력업체에게 대금지급의 법정기한을 도과하지 않은지에 대한 모니터링을 실시한다.</t>
    <phoneticPr fontId="2" type="noConversion"/>
  </si>
  <si>
    <t>CLO&amp;CCO에 분기별로 부당한 대금지급 행위 현황 모니터링 결과를 보고하여 투명성을 유지한다</t>
    <phoneticPr fontId="2" type="noConversion"/>
  </si>
  <si>
    <t>공정거래 모니터링 결과 보고 (부당대금지급)</t>
  </si>
  <si>
    <t>하도급법 및 상생협력법에서 명시된 서면교부 의무를 위반할 위험
1. 서면의 발급 및 서류의 보존(하도급법 제3조)
2. 약정서의 발급(상생협력법 제21조)</t>
    <phoneticPr fontId="2" type="noConversion"/>
  </si>
  <si>
    <t>공정거래법 교육을 이수하게 하고, Compliance Guide Book 및 정기News를 통해 하도급/수위탁 거래 시 유의사항, 준수사항을 상시/수시 제공하며, 계약서를 전자/서면으로 관리하게 한다.</t>
  </si>
  <si>
    <t>하도급/수위탁 거래 업체와의 거래 시 서면교부 준수 여부를 분기별로 실사하고 미비점을 점검한다.</t>
  </si>
  <si>
    <t>공정거래법 교육 이수자료
계약서 서면체결 확인 실사 자료</t>
    <phoneticPr fontId="2" type="noConversion"/>
  </si>
  <si>
    <t>개인정보보호법
개인정보처리방침</t>
    <phoneticPr fontId="2" type="noConversion"/>
  </si>
  <si>
    <t>동반성장 협력사 대상 복지프로그램 지원시 지원받는 협력사 임직원의 개인정보가 외부로 유출되어 발생할 수 있는 위험</t>
    <phoneticPr fontId="2" type="noConversion"/>
  </si>
  <si>
    <t>동반성장을 담당하는 팀원이 협력사 임직원의 개인정보를 다룰 때 민감한 개인정보는 해당 개인정보의 사용의 목적을 달성 한 후에는 즉시 삭제하게 하고 보관시에는 암호화된 문서로 관리하게 한다.</t>
    <phoneticPr fontId="2" type="noConversion"/>
  </si>
  <si>
    <t>개인정보보호법 관련 교육을 이수하게 한다.</t>
    <phoneticPr fontId="2" type="noConversion"/>
  </si>
  <si>
    <t>개인정보보호법 관련 교육 이수자료
암호화처리된 자료 증빙</t>
    <phoneticPr fontId="2" type="noConversion"/>
  </si>
  <si>
    <t>12월</t>
    <phoneticPr fontId="2" type="noConversion"/>
  </si>
  <si>
    <t>세번부호(HS코드) 발번 적정성 모니터링 및 우려거래자 모니터링을 소홀히 하여 대외무역법을 위반할 위험</t>
    <phoneticPr fontId="2" type="noConversion"/>
  </si>
  <si>
    <t>정기적으로 수출내역을 바탕으로 세번부호 재발번 필요 품목을 선정하여 수출입 담당자가 검토 후 시스템에 반영하도록 한다.
거래상대방이 우려거래 대상자에 해당하는지 여부를 시스템을 통해 실시간 모니터링 한다.</t>
    <phoneticPr fontId="2" type="noConversion"/>
  </si>
  <si>
    <t>CLO&amp;CCO에 분기별로 수출내역 모니터링 결과를 보고하여 투명성을 유지한다</t>
    <phoneticPr fontId="2" type="noConversion"/>
  </si>
  <si>
    <t>수출내역 모니터링 결과 보고</t>
    <phoneticPr fontId="2" type="noConversion"/>
  </si>
  <si>
    <t>청탁금지법</t>
    <phoneticPr fontId="2" type="noConversion"/>
  </si>
  <si>
    <t>공정거래조정원 평가관, 공정거래위원회 협약평가 담당자, 공정거래위원회 조사관, 동반성장위원회 평가부 평가담당자, 대중소농어업협력재단 평가담당자 미팅시 청탁금지법을 위반할 위험</t>
    <phoneticPr fontId="2" type="noConversion"/>
  </si>
  <si>
    <t>팀원들이 청탁금지법에 대한 교육을 이수하게 하고 윤리준수서약서를 작성하게 한다.</t>
    <phoneticPr fontId="2" type="noConversion"/>
  </si>
  <si>
    <t>팀원들이 공무원 등과 미팅시, 미팅일지를 작성하게하여 논의사항들을 투명하게 기록 보관한다.</t>
    <phoneticPr fontId="2" type="noConversion"/>
  </si>
  <si>
    <t>윤리준수서약서 
청탁금지법이 포함된 교육이수 확인서
공무원과 미팅시 작성된 회의록</t>
  </si>
  <si>
    <t>인장관리규정</t>
    <phoneticPr fontId="2" type="noConversion"/>
  </si>
  <si>
    <t>인장이 외부로 유출되어 무단사용되거나 도용될 위험, 인장관리 기록의 누락 및 오류로 인한 정보가 불일치할 위험</t>
    <phoneticPr fontId="2" type="noConversion"/>
  </si>
  <si>
    <t>인장을 시건장치가 있는 금고에 보관하고 접근권한을 최소화하며 주기적인 비밀번호를 변경한다</t>
    <phoneticPr fontId="2" type="noConversion"/>
  </si>
  <si>
    <t>현업부서에서 인장날인을 위해 인장이 필요할 경우, 시스템을 통해 문서번호를 반드시 확인 대사하고 인장대장을 기록하게 한다.</t>
    <phoneticPr fontId="2" type="noConversion"/>
  </si>
  <si>
    <t>인장날인대장
인장보관 금고확인</t>
    <phoneticPr fontId="2" type="noConversion"/>
  </si>
  <si>
    <t>컴플라이언스경영시스템 운영규정</t>
  </si>
  <si>
    <r>
      <t>거래관계에 있는 협력업체가 공정거래, 하도급, 대외무역법 등을 위반하여 당사에도 부정적인 영향을 끼칠 위험 (</t>
    </r>
    <r>
      <rPr>
        <b/>
        <sz val="9"/>
        <rFont val="맑은 고딕"/>
        <family val="3"/>
        <charset val="129"/>
        <scheme val="minor"/>
      </rPr>
      <t>컴플라이언스 운영규정 제18조)</t>
    </r>
    <phoneticPr fontId="2" type="noConversion"/>
  </si>
  <si>
    <t>협력업체와의 계약서에 "법규준수 및 부패방지 의무" 조항을 추가하여 관련법을 위반하면 계약의 해지 사유임을 인지하게 하거나 관련 서약서를 제출하게 한다.</t>
    <phoneticPr fontId="2" type="noConversion"/>
  </si>
  <si>
    <t>협력업체와의 미팅시나 협력회 모임 시, 준법경영을 강조하고 윤리규범교육 자료를 배포한다.</t>
    <phoneticPr fontId="2" type="noConversion"/>
  </si>
  <si>
    <t>협력업체와의 계약서
협력업체 윤리규범교육 자료</t>
    <phoneticPr fontId="2" type="noConversion"/>
  </si>
  <si>
    <t>회사와 임직원 간 이해상충의 방지를 위한 업무 지침</t>
    <phoneticPr fontId="2" type="noConversion"/>
  </si>
  <si>
    <r>
      <rPr>
        <sz val="9"/>
        <color rgb="FF000000"/>
        <rFont val="Calibri"/>
        <scheme val="minor"/>
      </rPr>
      <t xml:space="preserve">거래 상대방을 선정하거나 계약을 체결할 때 품질, 가격, 납기, 배송 일정 등에 대한 합리적인 기준을 마련하지 않은 경우, 제품 품질 저하, 가격 상승 등의 손해가 발생할 위험 </t>
    </r>
    <r>
      <rPr>
        <b/>
        <sz val="9"/>
        <color rgb="FF000000"/>
        <rFont val="Calibri"/>
        <scheme val="minor"/>
      </rPr>
      <t>(이해상중방지업무 지침 제5조)</t>
    </r>
  </si>
  <si>
    <t>품질, 가격, 납기 및 배송 일정 등의 명확한 평가 기준을 수립하고, 이를 기반으로 거래 상대방을 객관적으로 선정하도록 체계화된 절차를 도입한다</t>
  </si>
  <si>
    <t>계약 체결 전, 품질 및 가격 조건, 납기와 배송 일정 등의 세부 사항을 철저히 검토하고 승인한다.</t>
    <phoneticPr fontId="2" type="noConversion"/>
  </si>
  <si>
    <t>품질, 가격, 납기, 배송일정 등을 검토한 품의 등 증빙자료
협력업체와의 계약서</t>
    <phoneticPr fontId="2" type="noConversion"/>
  </si>
  <si>
    <t>Function</t>
    <phoneticPr fontId="2" type="noConversion"/>
  </si>
  <si>
    <t>팀</t>
    <phoneticPr fontId="2" type="noConversion"/>
  </si>
  <si>
    <t>구분</t>
    <phoneticPr fontId="2" type="noConversion"/>
  </si>
  <si>
    <t>VH</t>
    <phoneticPr fontId="2" type="noConversion"/>
  </si>
  <si>
    <t>H</t>
    <phoneticPr fontId="2" type="noConversion"/>
  </si>
  <si>
    <t>MH</t>
    <phoneticPr fontId="2" type="noConversion"/>
  </si>
  <si>
    <t>M</t>
    <phoneticPr fontId="2" type="noConversion"/>
  </si>
  <si>
    <t>L</t>
    <phoneticPr fontId="2" type="noConversion"/>
  </si>
  <si>
    <t>합계</t>
    <phoneticPr fontId="2" type="noConversion"/>
  </si>
  <si>
    <t>인터뷰 부서</t>
    <phoneticPr fontId="2" type="noConversion"/>
  </si>
  <si>
    <t>CFO</t>
    <phoneticPr fontId="2" type="noConversion"/>
  </si>
  <si>
    <t>Accounting팀</t>
    <phoneticPr fontId="2" type="noConversion"/>
  </si>
  <si>
    <t>내부회계관리제도</t>
    <phoneticPr fontId="2" type="noConversion"/>
  </si>
  <si>
    <t>Accounting팀, Tax팀, IR/PR팀, Treasury팀</t>
    <phoneticPr fontId="2" type="noConversion"/>
  </si>
  <si>
    <t>Treasury팀</t>
    <phoneticPr fontId="2" type="noConversion"/>
  </si>
  <si>
    <t>CHRO</t>
    <phoneticPr fontId="2" type="noConversion"/>
  </si>
  <si>
    <t>HRM팀, HRD팀</t>
    <phoneticPr fontId="2" type="noConversion"/>
  </si>
  <si>
    <t>IR/PR팀</t>
    <phoneticPr fontId="2" type="noConversion"/>
  </si>
  <si>
    <t>CLO&amp;CCO</t>
    <phoneticPr fontId="2" type="noConversion"/>
  </si>
  <si>
    <t>CP팀, Compliance&amp;SA팀</t>
    <phoneticPr fontId="2" type="noConversion"/>
  </si>
  <si>
    <t>Tax팀</t>
    <phoneticPr fontId="2" type="noConversion"/>
  </si>
  <si>
    <t>CSO</t>
    <phoneticPr fontId="2" type="noConversion"/>
  </si>
  <si>
    <t>-</t>
    <phoneticPr fontId="2" type="noConversion"/>
  </si>
  <si>
    <t>HRM팀</t>
    <phoneticPr fontId="2" type="noConversion"/>
  </si>
  <si>
    <t>공통</t>
    <phoneticPr fontId="2" type="noConversion"/>
  </si>
  <si>
    <t>HRD팀</t>
    <phoneticPr fontId="2" type="noConversion"/>
  </si>
  <si>
    <t>내부회계관리제도</t>
  </si>
  <si>
    <t>ISO</t>
  </si>
  <si>
    <t>ESG팀</t>
    <phoneticPr fontId="2" type="noConversion"/>
  </si>
  <si>
    <t>[DBI]</t>
    <phoneticPr fontId="2" type="noConversion"/>
  </si>
  <si>
    <t>Legal팀</t>
    <phoneticPr fontId="2" type="noConversion"/>
  </si>
  <si>
    <t>Compliance&amp;SA팀</t>
    <phoneticPr fontId="2" type="noConversion"/>
  </si>
  <si>
    <t>잔여리스크(L)</t>
    <phoneticPr fontId="2" type="noConversion"/>
  </si>
  <si>
    <t>NEXT팀</t>
    <phoneticPr fontId="2" type="noConversion"/>
  </si>
  <si>
    <t>NO</t>
    <phoneticPr fontId="2" type="noConversion"/>
  </si>
  <si>
    <t>업종(법령)</t>
    <phoneticPr fontId="2" type="noConversion"/>
  </si>
  <si>
    <t>중요도
(상/중/하)</t>
    <phoneticPr fontId="2" type="noConversion"/>
  </si>
  <si>
    <t>요건</t>
    <phoneticPr fontId="2" type="noConversion"/>
  </si>
  <si>
    <t>유효기간
(연도,월 선택 이메일 담당자 발송 알람 기능)</t>
    <phoneticPr fontId="2" type="noConversion"/>
  </si>
  <si>
    <t xml:space="preserve"> 유지 관리 (연 1회)*요건,유효기간 관리*</t>
    <phoneticPr fontId="2" type="noConversion"/>
  </si>
  <si>
    <t>모니터링</t>
    <phoneticPr fontId="2" type="noConversion"/>
  </si>
  <si>
    <t>인허가의 종류</t>
    <phoneticPr fontId="2" type="noConversion"/>
  </si>
  <si>
    <t>인허가 사본 첨부</t>
    <phoneticPr fontId="2" type="noConversion"/>
  </si>
  <si>
    <t>일정관리</t>
    <phoneticPr fontId="2" type="noConversion"/>
  </si>
  <si>
    <t>주무부처</t>
    <phoneticPr fontId="2" type="noConversion"/>
  </si>
  <si>
    <t>1.허가2.등록3.면허4.신고5. 기타</t>
    <phoneticPr fontId="2" type="noConversion"/>
  </si>
  <si>
    <t>1.자격취득(자) 2.사업소재지 3.자본,자산 4. 기타</t>
    <phoneticPr fontId="2" type="noConversion"/>
  </si>
  <si>
    <t>(국토부 등 18리스트 선택,지자체 선택)</t>
    <phoneticPr fontId="2" type="noConversion"/>
  </si>
  <si>
    <t>통제부서</t>
    <phoneticPr fontId="2" type="noConversion"/>
  </si>
  <si>
    <t>작성 상태(작성중, 작성완료)</t>
    <phoneticPr fontId="2" type="noConversion"/>
  </si>
  <si>
    <t>(예시)</t>
    <phoneticPr fontId="2" type="noConversion"/>
  </si>
  <si>
    <t xml:space="preserve">문화체육관광부 </t>
    <phoneticPr fontId="2" type="noConversion"/>
  </si>
  <si>
    <t>교육부</t>
    <phoneticPr fontId="2" type="noConversion"/>
  </si>
  <si>
    <t>환경부</t>
    <phoneticPr fontId="2" type="noConversion"/>
  </si>
  <si>
    <t>고용노동부</t>
    <phoneticPr fontId="2" type="noConversion"/>
  </si>
  <si>
    <t>국토부</t>
    <phoneticPr fontId="2" type="noConversion"/>
  </si>
  <si>
    <t xml:space="preserve">기획재정부 </t>
    <phoneticPr fontId="2" type="noConversion"/>
  </si>
  <si>
    <t>외교부</t>
    <phoneticPr fontId="2" type="noConversion"/>
  </si>
  <si>
    <t>과학기술정보통신부</t>
    <phoneticPr fontId="2" type="noConversion"/>
  </si>
  <si>
    <t>법무부</t>
    <phoneticPr fontId="2" type="noConversion"/>
  </si>
  <si>
    <t>행정안전부</t>
    <phoneticPr fontId="2" type="noConversion"/>
  </si>
  <si>
    <t xml:space="preserve">산업통상자원부 </t>
    <phoneticPr fontId="2" type="noConversion"/>
  </si>
  <si>
    <t xml:space="preserve">보건복지부 </t>
    <phoneticPr fontId="2" type="noConversion"/>
  </si>
  <si>
    <t>해양수산부</t>
    <phoneticPr fontId="2" type="noConversion"/>
  </si>
  <si>
    <t xml:space="preserve">여가부 </t>
    <phoneticPr fontId="2" type="noConversion"/>
  </si>
  <si>
    <t>중소벤처기업부</t>
    <phoneticPr fontId="2" type="noConversion"/>
  </si>
  <si>
    <t>1. 수탁 계약</t>
    <phoneticPr fontId="2" type="noConversion"/>
  </si>
  <si>
    <t>1. 위탁 계약</t>
    <phoneticPr fontId="2" type="noConversion"/>
  </si>
  <si>
    <t>업체명</t>
    <phoneticPr fontId="2" type="noConversion"/>
  </si>
  <si>
    <t>수탁의 내용</t>
    <phoneticPr fontId="2" type="noConversion"/>
  </si>
  <si>
    <t>중요도</t>
    <phoneticPr fontId="2" type="noConversion"/>
  </si>
  <si>
    <t>위탁의 내용(제공 항목)</t>
    <phoneticPr fontId="2" type="noConversion"/>
  </si>
  <si>
    <t>모니터링(작성중, 완료)</t>
    <phoneticPr fontId="2" type="noConversion"/>
  </si>
  <si>
    <t>수탁의 목적</t>
    <phoneticPr fontId="2" type="noConversion"/>
  </si>
  <si>
    <t>수탁 기간</t>
    <phoneticPr fontId="2" type="noConversion"/>
  </si>
  <si>
    <t>모니터링(작성중,완료)</t>
    <phoneticPr fontId="2" type="noConversion"/>
  </si>
  <si>
    <t>위탁의 목적</t>
    <phoneticPr fontId="2" type="noConversion"/>
  </si>
  <si>
    <t>위탁 기간</t>
    <phoneticPr fontId="2" type="noConversion"/>
  </si>
  <si>
    <t>상,중,하</t>
    <phoneticPr fontId="2" type="noConversion"/>
  </si>
  <si>
    <t>잡코리아</t>
    <phoneticPr fontId="2" type="noConversion"/>
  </si>
  <si>
    <t>채용 인원에 대한 실사</t>
    <phoneticPr fontId="2" type="noConversion"/>
  </si>
  <si>
    <t>1. 부패방지 의무식별</t>
    <phoneticPr fontId="2" type="noConversion"/>
  </si>
  <si>
    <t>리스크 평가</t>
    <phoneticPr fontId="2" type="noConversion"/>
  </si>
  <si>
    <t>리스크 통제 방안</t>
    <phoneticPr fontId="2" type="noConversion"/>
  </si>
  <si>
    <t>영역
(공적/민간)</t>
    <phoneticPr fontId="2" type="noConversion"/>
  </si>
  <si>
    <t>유형</t>
    <phoneticPr fontId="2" type="noConversion"/>
  </si>
  <si>
    <t>이해관계자</t>
    <phoneticPr fontId="2" type="noConversion"/>
  </si>
  <si>
    <t>리스크 원인 및 상황</t>
  </si>
  <si>
    <t>발생가능성과 영향도를 고려한 리스크 척도 
(상/중/하)</t>
    <phoneticPr fontId="2" type="noConversion"/>
  </si>
  <si>
    <t>리스크 척도(상/중/하)로 설정한 이유</t>
    <phoneticPr fontId="2" type="noConversion"/>
  </si>
  <si>
    <t>대상</t>
    <phoneticPr fontId="2" type="noConversion"/>
  </si>
  <si>
    <t>증빙자료</t>
  </si>
  <si>
    <t>측정시기</t>
  </si>
  <si>
    <t>공적</t>
  </si>
  <si>
    <t>증뢰</t>
    <phoneticPr fontId="2" type="noConversion"/>
  </si>
  <si>
    <t>공정거래조정원 평가관, 공정거래위원회 협약평가 담당자, 공정거래위원회 조사관, 동반성장위원회 평가부 평가담당자, 대중소농어업협력재단 평가담당자</t>
    <phoneticPr fontId="2" type="noConversion"/>
  </si>
  <si>
    <t>정부기관 및 공무원에게 선물, 접대, 부정청탁, 편의 등의 제공을 할 수 있는 상황</t>
    <phoneticPr fontId="2" type="noConversion"/>
  </si>
  <si>
    <t>김태훈</t>
    <phoneticPr fontId="2" type="noConversion"/>
  </si>
  <si>
    <t>상</t>
    <phoneticPr fontId="2" type="noConversion"/>
  </si>
  <si>
    <t>공정위관련 등급심사를 매년 받고 있고, 동반성장 활동이 확대 됨에 따라 담당공무원과의 접촉빈도가 높아지고 있음</t>
    <phoneticPr fontId="2" type="noConversion"/>
  </si>
  <si>
    <t>공직자 등에게 선물/경조사비/식사 비용 지출시에는 관련 내용을 법인카드 내역에 정확하게 기재하고, 담당 중역에게 사전 보고한다.</t>
    <phoneticPr fontId="2" type="noConversion"/>
  </si>
  <si>
    <t>팀원 전원이 두산 윤리규범 교육을 듣고, 윤리규범 준수 서약서를 작성하게 한다.</t>
    <phoneticPr fontId="2" type="noConversion"/>
  </si>
  <si>
    <t>CP팀장은 다음 사항을 확인하다
1. 업무관련 공무원과 미팅 시, 식사/선물/경조사 비용 지출 할 경우 CLO&amp;CCO에게 사전 서면보고 한다.
2. 팀원 전원이 윤리규범 교육을 수료하고, 윤리준수 서약서를 작성하였는지 확인한다.</t>
    <phoneticPr fontId="2" type="noConversion"/>
  </si>
  <si>
    <t>공무원 접대/경조사 관련 비용 지출 시 관련 증빙
팀원 전체 윤리준수 서약서 및 교육 수료 증빙</t>
    <phoneticPr fontId="2" type="noConversion"/>
  </si>
  <si>
    <t>민간</t>
  </si>
  <si>
    <t>ISO 인증기관 심사원</t>
    <phoneticPr fontId="2" type="noConversion"/>
  </si>
  <si>
    <t>ISO 인증심사 수검시 심사원들에게 접대, 부정청탁, 편의 등을 제공할 수 있는 상황</t>
    <phoneticPr fontId="2" type="noConversion"/>
  </si>
  <si>
    <t>중</t>
    <phoneticPr fontId="2" type="noConversion"/>
  </si>
  <si>
    <t>매년 로이드인증기관으로부터 ISO 인증심사를 받을 때, 유리한 점수/인증을 받기 위해 심사원들에게 부적절한 청탁을 할  여지가 있음</t>
    <phoneticPr fontId="2" type="noConversion"/>
  </si>
  <si>
    <t>심사원과의 모든 의사소통은 공식 경로를 통해서만 진행하고, 모든 일정을 명확히 문서화 한다.</t>
    <phoneticPr fontId="2" type="noConversion"/>
  </si>
  <si>
    <t>접대 등 혜택 제공을 사전 승인 절차를 통해 엄격히 관리한다.</t>
    <phoneticPr fontId="2" type="noConversion"/>
  </si>
  <si>
    <t>CP팀장은 다음 사항을 확인하다
1. 인증기관 심사관들과의 의사소통은 이메일로 남기고 미팅일정은 문서화 한다.
2. 인증기관 심사관들과 식사자리에서는 사전 승인된 비용내에서 집행한다.</t>
    <phoneticPr fontId="2" type="noConversion"/>
  </si>
  <si>
    <t>심사관들과 소통한 메일 내역
접대비용 지출 시 관련 증빙</t>
    <phoneticPr fontId="2" type="noConversion"/>
  </si>
  <si>
    <t>수뢰</t>
    <phoneticPr fontId="2" type="noConversion"/>
  </si>
  <si>
    <t>협력사 中 동반성장 지원대상 기업</t>
    <phoneticPr fontId="2" type="noConversion"/>
  </si>
  <si>
    <t>동반성장 지원대상 기업으로 선정되기 위해 협력사에서 금품, 선물, 접대, 부정청탁을  받을 수 있는 상황</t>
    <phoneticPr fontId="2" type="noConversion"/>
  </si>
  <si>
    <t>협력사 간의 공정한 경쟁이 저해될 여지가 있으며, 장기적으로 동반성장 사업에 부정적인 영향을 미칠 수 있음</t>
    <phoneticPr fontId="2" type="noConversion"/>
  </si>
  <si>
    <t>동반성장 지원대상 기업선정 과정을 투명하게 문서화 한다.</t>
    <phoneticPr fontId="2" type="noConversion"/>
  </si>
  <si>
    <t>금품 및 선물 수수를 금지하는 내용의 윤리준수 교육을 협력사 대상으로 시행한다</t>
    <phoneticPr fontId="2" type="noConversion"/>
  </si>
  <si>
    <t>CP팀장은 다음 사항을 확인하다
1. 동반성장 지원대상 선정과 관련된 절차와 방식을 문서화 한다.
2. 협력회 또는 동반성장프로그램 설명회 등 협력사 교육 시, 윤리준수 교육을 시행한다.</t>
    <phoneticPr fontId="2" type="noConversion"/>
  </si>
  <si>
    <t>동반성장 지원대상 협력업체 선정과정 문서
협력사 대상 윤리준수 교육 시행 증빙자료(교육자료, 사진등)</t>
  </si>
  <si>
    <t>협력사 동반성장 지원을 위한 제3자 업체(예, 컨설팅사, 디자인 용역사 등)</t>
    <phoneticPr fontId="2" type="noConversion"/>
  </si>
  <si>
    <t>동반성장 사업 유지에 필요한 제3의 업체들로부터 금품, 선물, 접대, 부정청탁 등을 받을 수 있는 상황</t>
    <phoneticPr fontId="2" type="noConversion"/>
  </si>
  <si>
    <t>두산 윤리규범 위반 사항이며 조직의 평판을 훼손할 여지가 있음</t>
    <phoneticPr fontId="2" type="noConversion"/>
  </si>
  <si>
    <t xml:space="preserve">제3자업체와의 계약서에 "법규준수 및 부패방지 의무" 조항을 추가하여 제3자업체가 인지하게 한다. </t>
    <phoneticPr fontId="2" type="noConversion"/>
  </si>
  <si>
    <t>제3자업체와의 미팅 시 사전 근태보고 및 식사시간은 회피하고, 식사시 각자 계산한다</t>
    <phoneticPr fontId="2" type="noConversion"/>
  </si>
  <si>
    <t>CP팀장은 다음 사항을 확인하다
1. 제3자 업체와의 계약체결 시, "법규준수 및 부패방지 의무"조항이 있는지 확인한다
2. 제3자 업체와의 미팅시 사전근태보고 자료 및 비용 증빙</t>
    <phoneticPr fontId="2" type="noConversion"/>
  </si>
  <si>
    <t>제3자 업체와의 체결한 날인된 계약서
제3자 업체와의 미팅시 사전근태 보고 자료 및 비용지출 증빙</t>
    <phoneticPr fontId="2" type="noConversion"/>
  </si>
  <si>
    <t>수뢰/증뢰</t>
    <phoneticPr fontId="2" type="noConversion"/>
  </si>
  <si>
    <t>법인카드를 사용할 수 있는 모든 거래대상자</t>
    <phoneticPr fontId="2" type="noConversion"/>
  </si>
  <si>
    <t>법인카드를 사적 유용할 수 있는 상황</t>
    <phoneticPr fontId="2" type="noConversion"/>
  </si>
  <si>
    <t>사내 통제 시스템이 어느 정도 효과적으로 작동하고 있지만, 완벽하게 모든 부정을 방지할 수는 없으며 인적 요인으로 인한 리스크를 완전히 제거하기 어려움</t>
    <phoneticPr fontId="2" type="noConversion"/>
  </si>
  <si>
    <t>법인카드 사용처와 목적을 직원들이 구체적으로 기입하게 하고 팀장은 승인할 때 다시한번 정상사용되었는지 체크한다</t>
    <phoneticPr fontId="2" type="noConversion"/>
  </si>
  <si>
    <t>임직원 대상 교육시 법인카드 사용규정과 준수의무를 상기 시킨다</t>
    <phoneticPr fontId="2" type="noConversion"/>
  </si>
  <si>
    <t>CP팀장은 다음사항을 확인한다.
1. 팀원들의 법인카드 사용내역에 대해 내부승인 시 사용처에 대해 다시한번 체크한다
2. 정기적으로 법인카드사용 규정과 준수의무를 상기시킨다.</t>
    <phoneticPr fontId="2" type="noConversion"/>
  </si>
  <si>
    <t>법인카드 승인 내역(샘플)</t>
    <phoneticPr fontId="2" type="noConversion"/>
  </si>
  <si>
    <t>회사 동료</t>
    <phoneticPr fontId="2" type="noConversion"/>
  </si>
  <si>
    <t>임직원 간 금전거래를 할 수 있는 상황</t>
    <phoneticPr fontId="2" type="noConversion"/>
  </si>
  <si>
    <t>임직원 간 금전거래를 엄격하게 금지하는 내부규정이 명확하게 마련되어 있지만, 이에 대한 모니터링 및 점검 시스템이 완벽하지 않아 일부 임직우너이 규정을 무시하고 거래할 가능서이 있음</t>
    <phoneticPr fontId="2" type="noConversion"/>
  </si>
  <si>
    <t>임직원 간 금전거래를 금지하는 규정에 대한 교육 또는 팀장은 정기적으로 팀원들이 인지할 수 있도록 당부한다</t>
    <phoneticPr fontId="2" type="noConversion"/>
  </si>
  <si>
    <t>익명으로 금전거래와 같은 부적절한 행위에 대해 적극적으로 신고할 수 있도록 장려하고 위반사례가 있을 시 경각심을 가질 수 있도록 공유한다.</t>
    <phoneticPr fontId="2" type="noConversion"/>
  </si>
  <si>
    <t xml:space="preserve">CP팀장은 다음 사항을 확인한다.
1. 윤리규범교육 내 임직원간 금전거래를 금지하는 내용을 직원들에게 상기시키며 해당거래 또는 유사한 거래가 일어나지 않도록 당부한다.
2. 금전거래가 발생할 경우 회사의 신고제도 운영을 적극이용할 수 있도록 권장하고, 사례가 있으면 팀원들에게 공유한다. </t>
    <phoneticPr fontId="2" type="noConversion"/>
  </si>
  <si>
    <t>윤리규범교육 이수율
금전거래 발생사례가 있을 경우 공유한 증빙자료</t>
    <phoneticPr fontId="2" type="noConversion"/>
  </si>
  <si>
    <t>■ Ethics &amp; Compliance 활동 목표 (Compliance 목표와 Ethics 목표를 구분 후 총 3개 이상 작성)</t>
    <phoneticPr fontId="2" type="noConversion"/>
  </si>
  <si>
    <t>No.</t>
    <phoneticPr fontId="8" type="noConversion"/>
  </si>
  <si>
    <t>부서명</t>
    <phoneticPr fontId="8" type="noConversion"/>
  </si>
  <si>
    <t>목표: 추진활동(실시상황)</t>
    <phoneticPr fontId="8" type="noConversion"/>
  </si>
  <si>
    <t>책임자</t>
    <phoneticPr fontId="8" type="noConversion"/>
  </si>
  <si>
    <t>달성시기</t>
    <phoneticPr fontId="2" type="noConversion"/>
  </si>
  <si>
    <t>목표달성여부 측정시기</t>
    <phoneticPr fontId="2" type="noConversion"/>
  </si>
  <si>
    <t>측정(평가) 기준</t>
    <phoneticPr fontId="2" type="noConversion"/>
  </si>
  <si>
    <t>모니터링 방법</t>
    <phoneticPr fontId="2" type="noConversion"/>
  </si>
  <si>
    <t>작성상태</t>
    <phoneticPr fontId="2" type="noConversion"/>
  </si>
  <si>
    <t>Compliance</t>
    <phoneticPr fontId="2" type="noConversion"/>
  </si>
  <si>
    <t>회사의 준법경영시스템에 대한 대외평가사의 심사를 통해 전문성 제고</t>
    <phoneticPr fontId="2" type="noConversion"/>
  </si>
  <si>
    <t>25년말</t>
    <phoneticPr fontId="2" type="noConversion"/>
  </si>
  <si>
    <t>ISO37301준법경영시스템 인증심사 통과 여부</t>
    <phoneticPr fontId="2" type="noConversion"/>
  </si>
  <si>
    <t>ISO 37301인증관련 증빙자료 (심사계획, 심사보고서, 사후 이사회 보고자료 등)</t>
    <phoneticPr fontId="2" type="noConversion"/>
  </si>
  <si>
    <t>완료</t>
    <phoneticPr fontId="2" type="noConversion"/>
  </si>
  <si>
    <t>Ethics</t>
    <phoneticPr fontId="2" type="noConversion"/>
  </si>
  <si>
    <t>임직원의 준법경영 자율준수 문화 내재화를 위한 Ethics &amp; Compliance 자율준수 프로그램 교육 실시</t>
    <phoneticPr fontId="2" type="noConversion"/>
  </si>
  <si>
    <t>전사 Ethics &amp; Compliance 자율준수 교육 실시 및 교육이후 팀별 리스크식별표 작성 여부</t>
    <phoneticPr fontId="2" type="noConversion"/>
  </si>
  <si>
    <t>- Ethics &amp; Compliance 교육 실시관련 증빙자료 검토 (기안문, 결과보고서, 사진 등)
- 팀별 리스크식별표 작성 샘플 검토</t>
    <phoneticPr fontId="2" type="noConversion"/>
  </si>
  <si>
    <t>하도급 거래 공정화 기본/심화 교육 및 규제기관의 사례 전파를 통한 준법의식 함양</t>
    <phoneticPr fontId="2" type="noConversion"/>
  </si>
  <si>
    <t>하도급법 교육 실시 및 참석률 90%이상 달성</t>
    <phoneticPr fontId="2" type="noConversion"/>
  </si>
  <si>
    <t>- 교육실시 증빙자료 검토 (기안문, 결과보고서, 사진 등)</t>
    <phoneticPr fontId="2" type="noConversion"/>
  </si>
  <si>
    <t>대리점거래 공정화 교육 및 규제기관의 사례 전파를 통한 준법의식 함양</t>
    <phoneticPr fontId="2" type="noConversion"/>
  </si>
  <si>
    <t>25년말</t>
  </si>
  <si>
    <t>대리점법 교육 실시 및 참석률 90%이상 달성</t>
    <phoneticPr fontId="2" type="noConversion"/>
  </si>
  <si>
    <t>임원대상 자율준수 심화 교육을 통한 회사 리더십의 준법의식 강화</t>
    <phoneticPr fontId="2" type="noConversion"/>
  </si>
  <si>
    <t>임원대상 자율준수 교육 실시 및 참석률 90%이상 달성</t>
    <phoneticPr fontId="2" type="noConversion"/>
  </si>
  <si>
    <t>★ 리스크 매트릭스 척도 선택 (5단계)</t>
    <phoneticPr fontId="2" type="noConversion"/>
  </si>
  <si>
    <t>▷ 리스크 합산 (5단계 척도)</t>
    <phoneticPr fontId="2" type="noConversion"/>
  </si>
  <si>
    <t>▷ 단계별 점수 범위</t>
    <phoneticPr fontId="2" type="noConversion"/>
  </si>
  <si>
    <t>발생 가능성</t>
    <phoneticPr fontId="2" type="noConversion"/>
  </si>
  <si>
    <t>리스크 정도(단계)</t>
    <phoneticPr fontId="2" type="noConversion"/>
  </si>
  <si>
    <t>합산 점수</t>
    <phoneticPr fontId="2" type="noConversion"/>
  </si>
  <si>
    <t>대응 수준</t>
    <phoneticPr fontId="2" type="noConversion"/>
  </si>
  <si>
    <t>=IF(AND(OR(발생가능성&gt;=5,영향도&gt;=5),합산점수&lt;12),"MH",(IF(AND(합산점수&gt;=12,합산점수&lt;20),"H",IF(합산점수&gt;=20,"VH",IF(합산점수&lt;4,"L",IF(합산점수&gt;=8,"MH","M"))))))</t>
    <phoneticPr fontId="2" type="noConversion"/>
  </si>
  <si>
    <t>미미함</t>
    <phoneticPr fontId="2" type="noConversion"/>
  </si>
  <si>
    <t>낮음</t>
    <phoneticPr fontId="2" type="noConversion"/>
  </si>
  <si>
    <t>중간 정도</t>
    <phoneticPr fontId="2" type="noConversion"/>
  </si>
  <si>
    <t>높음</t>
    <phoneticPr fontId="2" type="noConversion"/>
  </si>
  <si>
    <t>극단적/비극적</t>
    <phoneticPr fontId="2" type="noConversion"/>
  </si>
  <si>
    <t>VH(Very High)</t>
    <phoneticPr fontId="2" type="noConversion"/>
  </si>
  <si>
    <t>20 이상 25 이하</t>
    <phoneticPr fontId="2" type="noConversion"/>
  </si>
  <si>
    <t>즉각적인 조치</t>
    <phoneticPr fontId="2" type="noConversion"/>
  </si>
  <si>
    <t>=IF(잔여리스크&lt;1,"수용",IF(잔여리스크&lt;4,"L",IF(잔여&lt;8,"M",IF(잔여&lt;12,"MH",IF(잔여&lt;20,“H","VH")))))</t>
    <phoneticPr fontId="2" type="noConversion"/>
  </si>
  <si>
    <t>H(High)</t>
    <phoneticPr fontId="2" type="noConversion"/>
  </si>
  <si>
    <t>12 이상 20 미만</t>
    <phoneticPr fontId="2" type="noConversion"/>
  </si>
  <si>
    <t>발생가능성이 거의 없다</t>
    <phoneticPr fontId="2" type="noConversion"/>
  </si>
  <si>
    <t>MH(Medium High)</t>
    <phoneticPr fontId="2" type="noConversion"/>
  </si>
  <si>
    <t>8 이상 12 미만</t>
    <phoneticPr fontId="2" type="noConversion"/>
  </si>
  <si>
    <t>발생가능성이 낮다</t>
    <phoneticPr fontId="2" type="noConversion"/>
  </si>
  <si>
    <t>M(Medium)</t>
    <phoneticPr fontId="2" type="noConversion"/>
  </si>
  <si>
    <t>4 이상 8 미만</t>
    <phoneticPr fontId="2" type="noConversion"/>
  </si>
  <si>
    <r>
      <rPr>
        <sz val="11"/>
        <color theme="0"/>
        <rFont val="맑은 고딕"/>
        <family val="3"/>
        <charset val="129"/>
        <scheme val="minor"/>
      </rPr>
      <t>_</t>
    </r>
    <r>
      <rPr>
        <sz val="11"/>
        <color theme="1"/>
        <rFont val="맑은 고딕"/>
        <family val="3"/>
        <charset val="129"/>
        <scheme val="minor"/>
      </rPr>
      <t>3개월 내 대응계획수립</t>
    </r>
    <phoneticPr fontId="2" type="noConversion"/>
  </si>
  <si>
    <t>발생할 수 있다</t>
    <phoneticPr fontId="2" type="noConversion"/>
  </si>
  <si>
    <t>L(Low)</t>
    <phoneticPr fontId="2" type="noConversion"/>
  </si>
  <si>
    <t>1 이상 4 미만</t>
    <phoneticPr fontId="2" type="noConversion"/>
  </si>
  <si>
    <t>12개월 내 대응계획수립</t>
    <phoneticPr fontId="2" type="noConversion"/>
  </si>
  <si>
    <t>발생가능성이 높다</t>
    <phoneticPr fontId="2" type="noConversion"/>
  </si>
  <si>
    <t>0(수용)</t>
    <phoneticPr fontId="2" type="noConversion"/>
  </si>
  <si>
    <t>1 미만</t>
    <phoneticPr fontId="2" type="noConversion"/>
  </si>
  <si>
    <t>대응조치 미수립/미실시</t>
    <phoneticPr fontId="2" type="noConversion"/>
  </si>
  <si>
    <t>발생가능성이 매우 높다</t>
    <phoneticPr fontId="2" type="noConversion"/>
  </si>
  <si>
    <t>※ 발생가능성과 영향의 반영 비율은 1:1</t>
    <phoneticPr fontId="2" type="noConversion"/>
  </si>
  <si>
    <t xml:space="preserve">※ 다만, 발생가능성이나 영향도 둘 중 하나가 5에 해당하는 경우에는 리스크 합산 시 리스크 정도를 MH(Medium High)로 평가함 </t>
    <phoneticPr fontId="2" type="noConversion"/>
  </si>
  <si>
    <t>▷ 발생가능성 척도(예시)</t>
    <phoneticPr fontId="2" type="noConversion"/>
  </si>
  <si>
    <t>Rank</t>
    <phoneticPr fontId="2" type="noConversion"/>
  </si>
  <si>
    <t>발생가능성 척도</t>
    <phoneticPr fontId="2" type="noConversion"/>
  </si>
  <si>
    <t>빈도 (기준1)</t>
    <phoneticPr fontId="2" type="noConversion"/>
  </si>
  <si>
    <t>빈도 (기준2) : (A) or  (B) 동시 충족</t>
    <phoneticPr fontId="2" type="noConversion"/>
  </si>
  <si>
    <t>확률</t>
    <phoneticPr fontId="2" type="noConversion"/>
  </si>
  <si>
    <t>과거 발생경험 (A)</t>
    <phoneticPr fontId="2" type="noConversion"/>
  </si>
  <si>
    <t>현재 및 미래 발생가능성 (B)</t>
    <phoneticPr fontId="2" type="noConversion"/>
  </si>
  <si>
    <t>현재 및 미래 발생가능성 : 유사 업종, 규제 동향(강화시 고득점)</t>
    <phoneticPr fontId="2" type="noConversion"/>
  </si>
  <si>
    <t>매우 높다</t>
    <phoneticPr fontId="2" type="noConversion"/>
  </si>
  <si>
    <t>반기 1회 이상 발생</t>
  </si>
  <si>
    <t>있음</t>
    <phoneticPr fontId="2" type="noConversion"/>
  </si>
  <si>
    <t>매우 높음</t>
    <phoneticPr fontId="2" type="noConversion"/>
  </si>
  <si>
    <t>90% 이상</t>
    <phoneticPr fontId="2" type="noConversion"/>
  </si>
  <si>
    <t>높다</t>
    <phoneticPr fontId="2" type="noConversion"/>
  </si>
  <si>
    <t>1년 1회 이상 발생</t>
  </si>
  <si>
    <t>50%이상~90%미만</t>
    <phoneticPr fontId="2" type="noConversion"/>
  </si>
  <si>
    <t>3년 1회 이상 발생</t>
  </si>
  <si>
    <t>보통</t>
    <phoneticPr fontId="2" type="noConversion"/>
  </si>
  <si>
    <t>10%이상~50% 미만</t>
    <phoneticPr fontId="2" type="noConversion"/>
  </si>
  <si>
    <t>낮다</t>
    <phoneticPr fontId="2" type="noConversion"/>
  </si>
  <si>
    <t>5년 1회 이상 발생</t>
  </si>
  <si>
    <t>없음</t>
    <phoneticPr fontId="2" type="noConversion"/>
  </si>
  <si>
    <t>1%이상~10%미만</t>
    <phoneticPr fontId="2" type="noConversion"/>
  </si>
  <si>
    <t>거의 없다</t>
    <phoneticPr fontId="2" type="noConversion"/>
  </si>
  <si>
    <t>7년 1회 이상 발생</t>
  </si>
  <si>
    <t>매우 낮음</t>
    <phoneticPr fontId="2" type="noConversion"/>
  </si>
  <si>
    <t>1% 미만</t>
    <phoneticPr fontId="2" type="noConversion"/>
  </si>
  <si>
    <t>※ 빈도 : 2가지 방식 중 택일</t>
    <phoneticPr fontId="2" type="noConversion"/>
  </si>
  <si>
    <t>▷ 영항도 척도(예시)</t>
    <phoneticPr fontId="2" type="noConversion"/>
  </si>
  <si>
    <t>정성적 영향</t>
    <phoneticPr fontId="2" type="noConversion"/>
  </si>
  <si>
    <t>정량적 영향</t>
    <phoneticPr fontId="2" type="noConversion"/>
  </si>
  <si>
    <t>영향력 척도</t>
  </si>
  <si>
    <t>재무(재정)</t>
    <phoneticPr fontId="2" type="noConversion"/>
  </si>
  <si>
    <t>준수</t>
  </si>
  <si>
    <t>전략적</t>
  </si>
  <si>
    <t>형사벌(양형)</t>
    <phoneticPr fontId="2" type="noConversion"/>
  </si>
  <si>
    <t>생명∙신체</t>
    <phoneticPr fontId="2" type="noConversion"/>
  </si>
  <si>
    <t>행정처분(과징금, 영업정지)</t>
    <phoneticPr fontId="2" type="noConversion"/>
  </si>
  <si>
    <t>행정처분(과태료)</t>
    <phoneticPr fontId="2" type="noConversion"/>
  </si>
  <si>
    <t>총매출</t>
  </si>
  <si>
    <t>수익</t>
  </si>
  <si>
    <t>법·규정</t>
    <phoneticPr fontId="2" type="noConversion"/>
  </si>
  <si>
    <t>평판</t>
  </si>
  <si>
    <t>시장 점유율</t>
  </si>
  <si>
    <t>전략</t>
    <phoneticPr fontId="2" type="noConversion"/>
  </si>
  <si>
    <t>극단적/비극적</t>
  </si>
  <si>
    <t>&gt;5%</t>
    <phoneticPr fontId="2" type="noConversion"/>
  </si>
  <si>
    <t>&gt;25%</t>
  </si>
  <si>
    <t>경영진 기소
대규모 집단소송
규제당국의 제재</t>
    <phoneticPr fontId="2" type="noConversion"/>
  </si>
  <si>
    <t>모든 이해관계자에 대한 신뢰 상실
기업이미지손상</t>
    <phoneticPr fontId="2" type="noConversion"/>
  </si>
  <si>
    <t>잠재적 회복 불가
(예: 24-36개월)</t>
    <phoneticPr fontId="2" type="noConversion"/>
  </si>
  <si>
    <t>잠재적 인수 또는 파산</t>
    <phoneticPr fontId="2" type="noConversion"/>
  </si>
  <si>
    <t>징역형 3년 초과</t>
    <phoneticPr fontId="2" type="noConversion"/>
  </si>
  <si>
    <t>사망</t>
    <phoneticPr fontId="2" type="noConversion"/>
  </si>
  <si>
    <t>영업정지 1개월 초과</t>
    <phoneticPr fontId="2" type="noConversion"/>
  </si>
  <si>
    <t xml:space="preserve"> 1억원 초과</t>
    <phoneticPr fontId="2" type="noConversion"/>
  </si>
  <si>
    <t>높음</t>
  </si>
  <si>
    <t>&lt;2%-5%</t>
  </si>
  <si>
    <t>10%-25%</t>
  </si>
  <si>
    <t>경영상의 과제
대규모 법적 책임
규제당국의 벌금</t>
    <phoneticPr fontId="2" type="noConversion"/>
  </si>
  <si>
    <t>일부 이해관계자에 대한 신뢰 상실
기업 이미지 특정 손상</t>
    <phoneticPr fontId="2" type="noConversion"/>
  </si>
  <si>
    <t>장기 회복
(예: 12-24개월)</t>
    <phoneticPr fontId="2" type="noConversion"/>
  </si>
  <si>
    <t>상위 경영진 2명 이상 교체
재무 구조조정
전략적 계획의 상당한 변경</t>
    <phoneticPr fontId="2" type="noConversion"/>
  </si>
  <si>
    <t>징역형 3년 이하</t>
    <phoneticPr fontId="2" type="noConversion"/>
  </si>
  <si>
    <t>신체 상해</t>
    <phoneticPr fontId="2" type="noConversion"/>
  </si>
  <si>
    <t>영업정지 1개월 이하</t>
    <phoneticPr fontId="2" type="noConversion"/>
  </si>
  <si>
    <t xml:space="preserve"> 5,000만원 이상
 - 1억원 이하</t>
    <phoneticPr fontId="2" type="noConversion"/>
  </si>
  <si>
    <t>중간 정도</t>
  </si>
  <si>
    <t>1%-2%</t>
  </si>
  <si>
    <t>5%-10%</t>
  </si>
  <si>
    <t xml:space="preserve">경영상의 검토 
법정준비금
규제당국의 조사
</t>
    <phoneticPr fontId="2" type="noConversion"/>
  </si>
  <si>
    <t>이해관계자의 신뢰와 기업 이미지에 특정 영향(장기회복)</t>
    <phoneticPr fontId="2" type="noConversion"/>
  </si>
  <si>
    <t>중기 회복 
(예: 6-12개월)</t>
    <phoneticPr fontId="2" type="noConversion"/>
  </si>
  <si>
    <t>상위 경영진 1명 이상 교체, 운영 계획과 실행에 대한 상당한 변경</t>
  </si>
  <si>
    <r>
      <t xml:space="preserve">징역형 1년 이하, </t>
    </r>
    <r>
      <rPr>
        <sz val="9"/>
        <color rgb="FF0070C0"/>
        <rFont val="맑은 고딕"/>
        <family val="3"/>
        <charset val="129"/>
        <scheme val="minor"/>
      </rPr>
      <t>벌금형</t>
    </r>
    <phoneticPr fontId="2" type="noConversion"/>
  </si>
  <si>
    <t>과징금 등 1억원 초과</t>
    <phoneticPr fontId="2" type="noConversion"/>
  </si>
  <si>
    <t>1,000만원 이상
 - 5,000만원 이하</t>
    <phoneticPr fontId="2" type="noConversion"/>
  </si>
  <si>
    <t>낮음</t>
  </si>
  <si>
    <t>0.2%-1%</t>
    <phoneticPr fontId="2" type="noConversion"/>
  </si>
  <si>
    <t>1% -5%</t>
  </si>
  <si>
    <t>경영상 영향이 없음
한정책임
규제당국의 주의</t>
    <phoneticPr fontId="2" type="noConversion"/>
  </si>
  <si>
    <t>이해관계자의 신뢰와 기업 이미지에 잠재적 영향(단기회복)</t>
    <phoneticPr fontId="2" type="noConversion"/>
  </si>
  <si>
    <t>단기 회복 
(예: 6개월 미만)</t>
    <phoneticPr fontId="2" type="noConversion"/>
  </si>
  <si>
    <t>운영 계획과 실행에 대한 개선 또는 조정</t>
  </si>
  <si>
    <t xml:space="preserve">과징금 등 1억원 이하 </t>
    <phoneticPr fontId="2" type="noConversion"/>
  </si>
  <si>
    <t>500만원 이상
 - 1,000만원 이하</t>
    <phoneticPr fontId="2" type="noConversion"/>
  </si>
  <si>
    <t>미미함</t>
  </si>
  <si>
    <t>&lt;0.2%</t>
    <phoneticPr fontId="2" type="noConversion"/>
  </si>
  <si>
    <t>&lt;1%</t>
  </si>
  <si>
    <t>최소한의 법적 책임
규제당국의 영향력</t>
    <phoneticPr fontId="2" type="noConversion"/>
  </si>
  <si>
    <t>이해관계자의 신뢰와 기업 이미지에 영향을 미치지 않음</t>
  </si>
  <si>
    <t>제한적 회복 
(예: 3개월 미만)</t>
    <phoneticPr fontId="2" type="noConversion"/>
  </si>
  <si>
    <t>제한적 조정 필요</t>
  </si>
  <si>
    <t>시정조치(권고)</t>
    <phoneticPr fontId="2" type="noConversion"/>
  </si>
  <si>
    <t>500만원 미만</t>
    <phoneticPr fontId="2" type="noConversion"/>
  </si>
  <si>
    <r>
      <t>컴플라이언스 의무(사업관련 주요법규 식별 및 리스크평가 대상) 등록부</t>
    </r>
    <r>
      <rPr>
        <sz val="10"/>
        <color theme="1"/>
        <rFont val="맑은 고딕"/>
        <family val="3"/>
        <charset val="129"/>
        <scheme val="minor"/>
      </rPr>
      <t xml:space="preserve">  (법률의 경우 www.law.go.kr / 사규의 경우 인트라넷 사규관리시스템 참고)</t>
    </r>
    <phoneticPr fontId="2" type="noConversion"/>
  </si>
  <si>
    <t>시행일
(Update:2025.03.31)</t>
    <phoneticPr fontId="2" type="noConversion"/>
  </si>
  <si>
    <t>직원, 정부 단체 등 규제 기관,  협력사/대리점 등 거래 파트너</t>
    <phoneticPr fontId="2" type="noConversion"/>
  </si>
  <si>
    <t>전 부서</t>
    <phoneticPr fontId="2" type="noConversion"/>
  </si>
  <si>
    <t>Code of Conduct</t>
    <phoneticPr fontId="2" type="noConversion"/>
  </si>
  <si>
    <t>경영</t>
    <phoneticPr fontId="2" type="noConversion"/>
  </si>
  <si>
    <t>주식회사 등의 외부감사에 관한 법률</t>
    <phoneticPr fontId="2" type="noConversion"/>
  </si>
  <si>
    <t>외부감사법</t>
    <phoneticPr fontId="2" type="noConversion"/>
  </si>
  <si>
    <t>2025.04.01.</t>
    <phoneticPr fontId="2" type="noConversion"/>
  </si>
  <si>
    <t>규제 기관, 감사인, 경영진 및 이사회, 투자자 및 주주, 고객 및 공급업체</t>
  </si>
  <si>
    <t>준법통제기준</t>
    <phoneticPr fontId="2" type="noConversion"/>
  </si>
  <si>
    <t>2025.04.01.</t>
  </si>
  <si>
    <t>자본시장과 금융투자업에 관한 법률</t>
    <phoneticPr fontId="2" type="noConversion"/>
  </si>
  <si>
    <t>자본시장법</t>
  </si>
  <si>
    <t>2025.03.31.</t>
    <phoneticPr fontId="2" type="noConversion"/>
  </si>
  <si>
    <t>금융감독원 및 금융위원회, 투자자 및 주주, 경영진 및 재무 부서, 증권사 및 금융기관  및 소비자</t>
  </si>
  <si>
    <t>자본시장과 금융투자업에 관한 법률
독점규제 및 공정거래에 관한 법률</t>
    <phoneticPr fontId="2" type="noConversion"/>
  </si>
  <si>
    <t>자본시장법
공정거래법</t>
    <phoneticPr fontId="2" type="noConversion"/>
  </si>
  <si>
    <t>2025.03.31.
2025.01.21</t>
    <phoneticPr fontId="2" type="noConversion"/>
  </si>
  <si>
    <t>금융감독원 및 금융위원회, 투자자 및 주주, 경영진 및 재무 부서, 증권사 및 금융기관  및 소비자, 공정거래위원회</t>
    <phoneticPr fontId="2" type="noConversion"/>
  </si>
  <si>
    <t>소득세법</t>
    <phoneticPr fontId="2" type="noConversion"/>
  </si>
  <si>
    <t>2025.01.01.</t>
    <phoneticPr fontId="2" type="noConversion"/>
  </si>
  <si>
    <t>국세청, 근로자 및 관리자, HR팀, 세무사 및 회계사</t>
    <phoneticPr fontId="2" type="noConversion"/>
  </si>
  <si>
    <t>외국환거래법</t>
    <phoneticPr fontId="2" type="noConversion"/>
  </si>
  <si>
    <t>2025.09.19.</t>
    <phoneticPr fontId="2" type="noConversion"/>
  </si>
  <si>
    <t>한국은행 및 기획재정부, 해외 거래자 및 수익자, 금융기관, 경영진 및 재무 부서</t>
  </si>
  <si>
    <t>관련 품의 점검</t>
    <phoneticPr fontId="2" type="noConversion"/>
  </si>
  <si>
    <t>부가가치세법</t>
    <phoneticPr fontId="2" type="noConversion"/>
  </si>
  <si>
    <t>2025.07.01</t>
    <phoneticPr fontId="2" type="noConversion"/>
  </si>
  <si>
    <t>국세청, 소비자와 고객, 회계 및 재무 부서, 공급업체 및 판매업체</t>
  </si>
  <si>
    <t>법인세법</t>
    <phoneticPr fontId="2" type="noConversion"/>
  </si>
  <si>
    <t>국세청, 법인 및 기업 경영진, 세무사 및 회계사, 투자자 및 주주</t>
  </si>
  <si>
    <t>인사/노무</t>
    <phoneticPr fontId="2" type="noConversion"/>
  </si>
  <si>
    <t>근로기준법</t>
    <phoneticPr fontId="2" type="noConversion"/>
  </si>
  <si>
    <t>근로기준법</t>
  </si>
  <si>
    <t>고용노동부, 근로자 및 노동 조합, 경영진 및 HR 부서</t>
  </si>
  <si>
    <t>취업규칙</t>
    <phoneticPr fontId="2" type="noConversion"/>
  </si>
  <si>
    <t>장애인고용촉진 및 직업재활법
남녀고용평등과 일·가정 양립 지원에 관한 법률</t>
    <phoneticPr fontId="2" type="noConversion"/>
  </si>
  <si>
    <t>장애인고용법
남여고용평등법</t>
    <phoneticPr fontId="2" type="noConversion"/>
  </si>
  <si>
    <t>2022.07.12.
2025.02.23.</t>
    <phoneticPr fontId="2" type="noConversion"/>
  </si>
  <si>
    <t>고용노동부, 근로자 및 지원 단체, 경영진 및 HR 부서</t>
  </si>
  <si>
    <t>교육수료현황</t>
    <phoneticPr fontId="2" type="noConversion"/>
  </si>
  <si>
    <t>채용절차의 공정화에 관한 법률
남녀고용평등과 일·가정 양립 지원에 관한 법률</t>
    <phoneticPr fontId="2" type="noConversion"/>
  </si>
  <si>
    <t>채용절차법
남녀고용평등법</t>
    <phoneticPr fontId="2" type="noConversion"/>
  </si>
  <si>
    <t>2020.05.26.
2025.02.23.</t>
    <phoneticPr fontId="2" type="noConversion"/>
  </si>
  <si>
    <t>고용노동부, 채용 지원자, HR 부서</t>
  </si>
  <si>
    <t>근로자퇴직급여 보장법</t>
    <phoneticPr fontId="2" type="noConversion"/>
  </si>
  <si>
    <t>퇴직급여법</t>
  </si>
  <si>
    <t>2022.07.12.</t>
    <phoneticPr fontId="2" type="noConversion"/>
  </si>
  <si>
    <t>고용노동부, 퇴직 근로자, 경영진 및 HR 부서, 재무 및 회계 부서</t>
  </si>
  <si>
    <t>준법통제기준, HQ위임전결규정</t>
    <phoneticPr fontId="2" type="noConversion"/>
  </si>
  <si>
    <t>공정거래위원회, 경영진 및 , 경쟁사, 소비자, 관련 협력업체</t>
  </si>
  <si>
    <t>내부거래관리규정, 교육수료현황</t>
    <phoneticPr fontId="2" type="noConversion"/>
  </si>
  <si>
    <t>2025.01.21.
2025.04.01.
2025.07.22
2025.01.21.</t>
    <phoneticPr fontId="2" type="noConversion"/>
  </si>
  <si>
    <t>공정거래위원회, 하도급업체 및 대리점, 중소기업, 경영진</t>
    <phoneticPr fontId="2" type="noConversion"/>
  </si>
  <si>
    <t>자율준수프로그램 운영 규정</t>
    <phoneticPr fontId="2" type="noConversion"/>
  </si>
  <si>
    <t>지식재산 및 정보보호</t>
    <phoneticPr fontId="2" type="noConversion"/>
  </si>
  <si>
    <t>2025.03.13</t>
    <phoneticPr fontId="2" type="noConversion"/>
  </si>
  <si>
    <t>개인정보보호위원회, 정보주체, 조직의 데이터 보안 부서, IT 및 법무 부서</t>
    <phoneticPr fontId="2" type="noConversion"/>
  </si>
  <si>
    <t>정보통신망 이용촉진 및 정보보호에 관란 법률</t>
    <phoneticPr fontId="2" type="noConversion"/>
  </si>
  <si>
    <t>정보통신망법</t>
  </si>
  <si>
    <t>2025.07.22.</t>
    <phoneticPr fontId="2" type="noConversion"/>
  </si>
  <si>
    <t>방송통신위원회, 이용자 및 소비자, 통신사 및 인터넷 제공자, IT 및 보안 부서</t>
    <phoneticPr fontId="2" type="noConversion"/>
  </si>
  <si>
    <t>신고현황</t>
    <phoneticPr fontId="2" type="noConversion"/>
  </si>
  <si>
    <t>위치정보의 보호 및 이용 등에 관한 법률</t>
    <phoneticPr fontId="2" type="noConversion"/>
  </si>
  <si>
    <t>위치정보법</t>
    <phoneticPr fontId="2" type="noConversion"/>
  </si>
  <si>
    <t>방송통신위원회, 위치 기반 서비스 제공자, 사용자(소비자), IT 및 법무 부서</t>
    <phoneticPr fontId="2" type="noConversion"/>
  </si>
  <si>
    <t>방송통신위원회, 위치 기반 서비스 제공자, 사용자(소비자), IT 및 법무 부서</t>
  </si>
  <si>
    <t>환경/안전·보건/에너지</t>
    <phoneticPr fontId="2" type="noConversion"/>
  </si>
  <si>
    <t>환경기술 및 환경산업 지원법</t>
    <phoneticPr fontId="2" type="noConversion"/>
  </si>
  <si>
    <t>환경기술산업법</t>
    <phoneticPr fontId="2" type="noConversion"/>
  </si>
  <si>
    <t>2022.03.25</t>
    <phoneticPr fontId="2" type="noConversion"/>
  </si>
  <si>
    <t>환경부, 환경 기술업체 및 연구소, 일반 대중 및 지역사회, 경영진 및 지속 가능성 부서</t>
    <phoneticPr fontId="2" type="noConversion"/>
  </si>
  <si>
    <t>시설물안전법
산업안전보건법
중대재해처벌 등에 관한 법률
재난 및 안전관리기본법</t>
    <phoneticPr fontId="2" type="noConversion"/>
  </si>
  <si>
    <t>시설물안전법
산업안전보건법
중대재해처벌법
재난 및 안전관리기본법</t>
    <phoneticPr fontId="2" type="noConversion"/>
  </si>
  <si>
    <t>2025.12.04.
2024.05.17.
2022.01.27.
2025.10.02.</t>
    <phoneticPr fontId="2" type="noConversion"/>
  </si>
  <si>
    <t>고용노동부, 산업안전보건공단, 근로자 및 안전 관리자, 경영진 및 안전 부서, 지역사회 및 응급 서비스</t>
  </si>
  <si>
    <t>안전보건(EHS) 방침 관리 규정, [EHS] 위험성 평가 규정</t>
    <phoneticPr fontId="2" type="noConversion"/>
  </si>
  <si>
    <t>화학물질 관련 규제(REACH, ROHS), 안전규제(EN,ISO)
EU CBAM(탄소국경조정제도)</t>
    <phoneticPr fontId="2" type="noConversion"/>
  </si>
  <si>
    <t>환경규제</t>
    <phoneticPr fontId="2" type="noConversion"/>
  </si>
  <si>
    <t>직원, 경영진, 고객,  협력사, 환경부 등 정부규제 기관, 등</t>
    <phoneticPr fontId="2" type="noConversion"/>
  </si>
  <si>
    <t>연구전략팀</t>
    <phoneticPr fontId="2" type="noConversion"/>
  </si>
  <si>
    <t>기타</t>
    <phoneticPr fontId="2" type="noConversion"/>
  </si>
  <si>
    <t>법규 변화 모니터링</t>
    <phoneticPr fontId="2" type="noConversion"/>
  </si>
  <si>
    <t>직원, 경영진, 고객, 대리점, 딜러, 협력사, 정부규제 기관,  투자자 등</t>
  </si>
  <si>
    <t>품의서 점검</t>
    <phoneticPr fontId="2" type="noConversion"/>
  </si>
  <si>
    <t>Sanction 규제</t>
    <phoneticPr fontId="2" type="noConversion"/>
  </si>
  <si>
    <t>2024.08.21.</t>
    <phoneticPr fontId="2" type="noConversion"/>
  </si>
  <si>
    <t>Due diligence questionnaire</t>
    <phoneticPr fontId="2" type="noConversion"/>
  </si>
  <si>
    <t>부패.부정 상황 예시</t>
    <phoneticPr fontId="2" type="noConversion"/>
  </si>
  <si>
    <t>협력사(또는 대리점, 금융기관 등)와의 식사접대를 받을 수 있는 상황</t>
  </si>
  <si>
    <t>협력사(또는 대리점, 금융기관 등)로부터 명절 선물, 카톡 선물, 경조사비 등을 받을 수 있는 상황</t>
  </si>
  <si>
    <t>협력사(또는 대리점, 금융기관 등)로부터 골프, 여행 등 접대를 받을 수 있는 상황</t>
  </si>
  <si>
    <t>협력사(또는 대리점, 금융기관 등)에 업무상 편의나 특혜를 제공할 수 있는 상황</t>
  </si>
  <si>
    <t>정부기관 및 공무원에게 선물, 접대, 부정청탁, 특혜제공 등과 같은 상황</t>
  </si>
  <si>
    <t>회사 업무 관련 자료 및 재무 기록이 정확하게 작성되지 않을 상황</t>
  </si>
  <si>
    <t>팀업무와 관련되어 공시의무를 소홀히 할 수 있는 상황</t>
  </si>
  <si>
    <t>팀업무와 관련하여 경업 및 겸직 상황이 발생할 수 있는 상황</t>
  </si>
  <si>
    <t>구사우 등 이해관계가 있는 업체와 발생할 수 있는 위험</t>
  </si>
  <si>
    <t>회사의 비공개 정보 혹은 무형자산(IP 등)을 보호하지 못할 상황</t>
  </si>
  <si>
    <t>법인카드를 이용하여 불법현금화 혹은 편법 사용할 상황</t>
  </si>
  <si>
    <t>국책과제, 지원금, 프로젝트성 비용을 개인적으로 사용할 상황</t>
  </si>
  <si>
    <t>팀에 보관 중인 유형자산, 재고자산, 유가증권, 비자산 비품을 유용, 남용, 처분할 상황</t>
  </si>
  <si>
    <t>팀업무와 관련하여 개인정보를 보호하지 못하여 법위반 Risk 상황</t>
  </si>
  <si>
    <t>임직원 간 차용의 금지 Risk 상황</t>
  </si>
  <si>
    <t>팀에서 발생할 수 있는 본인 또는 제3자 이해와 관련된 이해상충 Risk 상황</t>
  </si>
  <si>
    <t>상기 외 경험했던 윤리 딜레마 상황: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</si>
</sst>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4"/>
      <color rgb="FF000000"/>
      <name val="Noto Sans CJK KR Regular"/>
      <family val="2"/>
      <charset val="129"/>
    </font>
    <font>
      <b/>
      <sz val="14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40"/>
      <color theme="1"/>
      <name val="Noto Sans CJK KR Medium"/>
      <family val="2"/>
      <charset val="129"/>
    </font>
    <font>
      <b/>
      <sz val="20"/>
      <color theme="1"/>
      <name val="Noto Sans CJK KR Medium"/>
      <family val="2"/>
      <charset val="129"/>
    </font>
    <font>
      <b/>
      <sz val="20"/>
      <color theme="1"/>
      <name val="맑은 고딕"/>
      <family val="2"/>
      <charset val="129"/>
    </font>
    <font>
      <sz val="10"/>
      <color rgb="FFFF0000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9"/>
      <color rgb="FF000000"/>
      <name val="Calibri"/>
      <scheme val="minor"/>
    </font>
    <font>
      <b/>
      <sz val="9"/>
      <color rgb="FF000000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7"/>
        <bgColor indexed="64"/>
      </patternFill>
    </fill>
    <fill>
      <patternFill patternType="solid">
        <fgColor rgb="FFE7E6E6"/>
        <bgColor indexed="64"/>
      </patternFill>
    </fill>
  </fills>
  <borders count="1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</cellStyleXfs>
  <cellXfs count="51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4" borderId="9" xfId="0" applyFont="1" applyFill="1" applyBorder="1" applyAlignment="1" applyProtection="1">
      <alignment horizontal="center" vertical="center"/>
      <protection locked="0"/>
    </xf>
    <xf numFmtId="0" fontId="4" fillId="4" borderId="8" xfId="0" applyFont="1" applyFill="1" applyBorder="1" applyAlignment="1" applyProtection="1">
      <alignment horizontal="center" vertical="center" wrapText="1"/>
      <protection locked="0"/>
    </xf>
    <xf numFmtId="0" fontId="4" fillId="4" borderId="5" xfId="0" applyFont="1" applyFill="1" applyBorder="1" applyAlignment="1" applyProtection="1">
      <alignment horizontal="center" vertical="center"/>
      <protection locked="0"/>
    </xf>
    <xf numFmtId="0" fontId="4" fillId="4" borderId="41" xfId="0" applyFont="1" applyFill="1" applyBorder="1" applyAlignment="1" applyProtection="1">
      <alignment horizontal="center" vertical="center"/>
      <protection locked="0"/>
    </xf>
    <xf numFmtId="0" fontId="4" fillId="4" borderId="45" xfId="0" applyFont="1" applyFill="1" applyBorder="1" applyAlignment="1" applyProtection="1">
      <alignment horizontal="center" vertical="center"/>
      <protection locked="0"/>
    </xf>
    <xf numFmtId="0" fontId="4" fillId="4" borderId="47" xfId="0" applyFont="1" applyFill="1" applyBorder="1" applyAlignment="1" applyProtection="1">
      <alignment horizontal="center" vertical="center"/>
      <protection locked="0"/>
    </xf>
    <xf numFmtId="0" fontId="4" fillId="4" borderId="48" xfId="0" applyFont="1" applyFill="1" applyBorder="1" applyAlignment="1" applyProtection="1">
      <alignment horizontal="center" vertical="center"/>
      <protection locked="0"/>
    </xf>
    <xf numFmtId="0" fontId="4" fillId="4" borderId="49" xfId="0" applyFont="1" applyFill="1" applyBorder="1" applyAlignment="1" applyProtection="1">
      <alignment horizontal="center" vertical="center"/>
      <protection locked="0"/>
    </xf>
    <xf numFmtId="0" fontId="4" fillId="4" borderId="50" xfId="0" applyFont="1" applyFill="1" applyBorder="1" applyAlignment="1" applyProtection="1">
      <alignment horizontal="center" vertical="center"/>
      <protection locked="0"/>
    </xf>
    <xf numFmtId="0" fontId="4" fillId="4" borderId="51" xfId="0" applyFont="1" applyFill="1" applyBorder="1" applyAlignment="1" applyProtection="1">
      <alignment horizontal="center" vertical="center"/>
      <protection locked="0"/>
    </xf>
    <xf numFmtId="0" fontId="4" fillId="4" borderId="52" xfId="0" applyFont="1" applyFill="1" applyBorder="1" applyAlignment="1" applyProtection="1">
      <alignment horizontal="center" vertical="center"/>
      <protection locked="0"/>
    </xf>
    <xf numFmtId="0" fontId="5" fillId="0" borderId="53" xfId="0" applyFont="1" applyBorder="1" applyAlignment="1" applyProtection="1">
      <alignment horizontal="center" vertical="center"/>
      <protection locked="0"/>
    </xf>
    <xf numFmtId="0" fontId="5" fillId="0" borderId="54" xfId="0" applyFont="1" applyBorder="1" applyAlignment="1" applyProtection="1">
      <alignment horizontal="center" vertical="center" shrinkToFit="1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55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56" xfId="0" applyFont="1" applyBorder="1" applyAlignment="1" applyProtection="1">
      <alignment horizontal="center" vertical="center"/>
      <protection locked="0"/>
    </xf>
    <xf numFmtId="0" fontId="5" fillId="0" borderId="57" xfId="0" applyFont="1" applyBorder="1" applyAlignment="1" applyProtection="1">
      <alignment horizontal="center" vertical="center" shrinkToFit="1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6" fillId="0" borderId="53" xfId="0" applyFont="1" applyBorder="1" applyAlignment="1" applyProtection="1">
      <alignment horizontal="center" vertical="center"/>
      <protection locked="0"/>
    </xf>
    <xf numFmtId="0" fontId="6" fillId="0" borderId="54" xfId="0" applyFont="1" applyBorder="1" applyAlignment="1" applyProtection="1">
      <alignment horizontal="center" vertical="center" shrinkToFit="1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56" xfId="0" applyFont="1" applyBorder="1" applyAlignment="1" applyProtection="1">
      <alignment horizontal="center" vertical="center"/>
      <protection locked="0"/>
    </xf>
    <xf numFmtId="0" fontId="6" fillId="0" borderId="57" xfId="0" applyFont="1" applyBorder="1" applyAlignment="1" applyProtection="1">
      <alignment horizontal="center" vertical="center" shrinkToFit="1"/>
      <protection locked="0"/>
    </xf>
    <xf numFmtId="0" fontId="6" fillId="0" borderId="58" xfId="0" applyFont="1" applyBorder="1" applyAlignment="1" applyProtection="1">
      <alignment horizontal="center" vertical="center"/>
      <protection locked="0"/>
    </xf>
    <xf numFmtId="0" fontId="4" fillId="5" borderId="37" xfId="0" applyFont="1" applyFill="1" applyBorder="1" applyAlignment="1" applyProtection="1">
      <alignment horizontal="center" vertical="center" wrapText="1"/>
      <protection locked="0"/>
    </xf>
    <xf numFmtId="0" fontId="3" fillId="5" borderId="0" xfId="0" applyFont="1" applyFill="1">
      <alignment vertical="center"/>
    </xf>
    <xf numFmtId="0" fontId="4" fillId="4" borderId="37" xfId="0" applyFont="1" applyFill="1" applyBorder="1" applyAlignment="1" applyProtection="1">
      <alignment horizontal="center" vertical="center" wrapText="1"/>
      <protection locked="0"/>
    </xf>
    <xf numFmtId="0" fontId="4" fillId="5" borderId="39" xfId="0" applyFont="1" applyFill="1" applyBorder="1" applyAlignment="1" applyProtection="1">
      <alignment horizontal="center" vertical="center" wrapText="1"/>
      <protection locked="0"/>
    </xf>
    <xf numFmtId="0" fontId="4" fillId="4" borderId="39" xfId="0" applyFont="1" applyFill="1" applyBorder="1" applyAlignment="1" applyProtection="1">
      <alignment horizontal="center" vertical="center" wrapText="1"/>
      <protection locked="0"/>
    </xf>
    <xf numFmtId="0" fontId="4" fillId="5" borderId="48" xfId="0" applyFont="1" applyFill="1" applyBorder="1" applyAlignment="1" applyProtection="1">
      <alignment horizontal="center" vertical="center" wrapText="1"/>
      <protection locked="0"/>
    </xf>
    <xf numFmtId="0" fontId="4" fillId="5" borderId="47" xfId="0" applyFont="1" applyFill="1" applyBorder="1" applyAlignment="1" applyProtection="1">
      <alignment horizontal="center" vertical="center"/>
      <protection locked="0"/>
    </xf>
    <xf numFmtId="0" fontId="4" fillId="5" borderId="49" xfId="0" applyFont="1" applyFill="1" applyBorder="1" applyAlignment="1" applyProtection="1">
      <alignment horizontal="center" vertical="center"/>
      <protection locked="0"/>
    </xf>
    <xf numFmtId="0" fontId="4" fillId="5" borderId="50" xfId="0" applyFont="1" applyFill="1" applyBorder="1" applyAlignment="1" applyProtection="1">
      <alignment horizontal="center" vertical="center"/>
      <protection locked="0"/>
    </xf>
    <xf numFmtId="0" fontId="4" fillId="5" borderId="60" xfId="0" applyFont="1" applyFill="1" applyBorder="1" applyAlignment="1" applyProtection="1">
      <alignment horizontal="center" vertical="center"/>
      <protection locked="0"/>
    </xf>
    <xf numFmtId="0" fontId="4" fillId="4" borderId="48" xfId="0" applyFont="1" applyFill="1" applyBorder="1" applyAlignment="1" applyProtection="1">
      <alignment horizontal="center" vertical="center" wrapText="1"/>
      <protection locked="0"/>
    </xf>
    <xf numFmtId="0" fontId="4" fillId="4" borderId="60" xfId="0" applyFont="1" applyFill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6" fillId="0" borderId="62" xfId="0" applyFont="1" applyBorder="1" applyAlignment="1" applyProtection="1">
      <alignment horizontal="center" vertical="center"/>
      <protection locked="0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52" xfId="0" applyBorder="1">
      <alignment vertical="center"/>
    </xf>
    <xf numFmtId="0" fontId="0" fillId="0" borderId="119" xfId="0" applyBorder="1">
      <alignment vertical="center"/>
    </xf>
    <xf numFmtId="0" fontId="11" fillId="15" borderId="3" xfId="0" applyFont="1" applyFill="1" applyBorder="1">
      <alignment vertical="center"/>
    </xf>
    <xf numFmtId="0" fontId="11" fillId="15" borderId="68" xfId="0" applyFont="1" applyFill="1" applyBorder="1">
      <alignment vertical="center"/>
    </xf>
    <xf numFmtId="0" fontId="11" fillId="15" borderId="119" xfId="0" applyFont="1" applyFill="1" applyBorder="1">
      <alignment vertical="center"/>
    </xf>
    <xf numFmtId="0" fontId="11" fillId="15" borderId="122" xfId="0" applyFont="1" applyFill="1" applyBorder="1">
      <alignment vertical="center"/>
    </xf>
    <xf numFmtId="0" fontId="0" fillId="0" borderId="124" xfId="0" applyBorder="1">
      <alignment vertical="center"/>
    </xf>
    <xf numFmtId="0" fontId="0" fillId="0" borderId="126" xfId="0" applyBorder="1">
      <alignment vertical="center"/>
    </xf>
    <xf numFmtId="0" fontId="11" fillId="0" borderId="123" xfId="0" applyFont="1" applyBorder="1">
      <alignment vertical="center"/>
    </xf>
    <xf numFmtId="0" fontId="11" fillId="0" borderId="125" xfId="0" applyFont="1" applyBorder="1">
      <alignment vertical="center"/>
    </xf>
    <xf numFmtId="0" fontId="12" fillId="14" borderId="3" xfId="4" applyFont="1" applyBorder="1">
      <alignment vertical="center"/>
    </xf>
    <xf numFmtId="0" fontId="12" fillId="14" borderId="0" xfId="4" applyFont="1">
      <alignment vertical="center"/>
    </xf>
    <xf numFmtId="164" fontId="0" fillId="0" borderId="0" xfId="0" applyNumberFormat="1">
      <alignment vertical="center"/>
    </xf>
    <xf numFmtId="0" fontId="12" fillId="14" borderId="0" xfId="4" applyFont="1" applyBorder="1">
      <alignment vertical="center"/>
    </xf>
    <xf numFmtId="0" fontId="0" fillId="0" borderId="120" xfId="0" applyBorder="1">
      <alignment vertical="center"/>
    </xf>
    <xf numFmtId="0" fontId="0" fillId="0" borderId="2" xfId="0" applyBorder="1">
      <alignment vertical="center"/>
    </xf>
    <xf numFmtId="0" fontId="0" fillId="0" borderId="47" xfId="0" applyBorder="1">
      <alignment vertical="center"/>
    </xf>
    <xf numFmtId="0" fontId="11" fillId="15" borderId="0" xfId="0" applyFont="1" applyFill="1">
      <alignment vertical="center"/>
    </xf>
    <xf numFmtId="0" fontId="11" fillId="0" borderId="3" xfId="0" applyFont="1" applyBorder="1">
      <alignment vertical="center"/>
    </xf>
    <xf numFmtId="0" fontId="11" fillId="0" borderId="119" xfId="0" applyFont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>
      <alignment vertical="center"/>
    </xf>
    <xf numFmtId="0" fontId="19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25" fillId="0" borderId="0" xfId="0" applyFont="1">
      <alignment vertical="center"/>
    </xf>
    <xf numFmtId="0" fontId="7" fillId="2" borderId="68" xfId="0" applyFont="1" applyFill="1" applyBorder="1" applyAlignment="1">
      <alignment horizontal="center" vertical="center"/>
    </xf>
    <xf numFmtId="0" fontId="7" fillId="2" borderId="69" xfId="0" applyFont="1" applyFill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/>
    </xf>
    <xf numFmtId="0" fontId="26" fillId="6" borderId="71" xfId="0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2" borderId="7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3" xfId="0" applyFont="1" applyFill="1" applyBorder="1" applyAlignment="1">
      <alignment horizontal="center" vertical="center"/>
    </xf>
    <xf numFmtId="0" fontId="26" fillId="7" borderId="71" xfId="0" applyFont="1" applyFill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11" fillId="8" borderId="74" xfId="0" applyFont="1" applyFill="1" applyBorder="1" applyAlignment="1">
      <alignment horizontal="center" vertical="center"/>
    </xf>
    <xf numFmtId="0" fontId="11" fillId="8" borderId="27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26" fillId="10" borderId="32" xfId="0" applyFont="1" applyFill="1" applyBorder="1" applyAlignment="1">
      <alignment horizontal="center" vertical="center"/>
    </xf>
    <xf numFmtId="0" fontId="11" fillId="8" borderId="76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11" fillId="9" borderId="58" xfId="0" applyFont="1" applyFill="1" applyBorder="1" applyAlignment="1">
      <alignment horizontal="center" vertical="center"/>
    </xf>
    <xf numFmtId="0" fontId="27" fillId="9" borderId="71" xfId="0" applyFont="1" applyFill="1" applyBorder="1" applyAlignment="1">
      <alignment horizontal="center" vertical="center"/>
    </xf>
    <xf numFmtId="0" fontId="11" fillId="8" borderId="78" xfId="0" applyFont="1" applyFill="1" applyBorder="1" applyAlignment="1">
      <alignment horizontal="center" vertical="center"/>
    </xf>
    <xf numFmtId="0" fontId="11" fillId="9" borderId="79" xfId="0" applyFont="1" applyFill="1" applyBorder="1" applyAlignment="1">
      <alignment horizontal="center" vertical="center"/>
    </xf>
    <xf numFmtId="0" fontId="27" fillId="8" borderId="71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27" fillId="11" borderId="83" xfId="0" applyFont="1" applyFill="1" applyBorder="1" applyAlignment="1">
      <alignment horizontal="center" vertical="center"/>
    </xf>
    <xf numFmtId="0" fontId="20" fillId="0" borderId="84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2" borderId="86" xfId="0" applyFont="1" applyFill="1" applyBorder="1" applyAlignment="1">
      <alignment horizontal="center" vertical="center"/>
    </xf>
    <xf numFmtId="0" fontId="7" fillId="2" borderId="8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4" fillId="0" borderId="90" xfId="0" applyFont="1" applyBorder="1" applyAlignment="1">
      <alignment horizontal="left" vertical="center"/>
    </xf>
    <xf numFmtId="0" fontId="15" fillId="0" borderId="90" xfId="0" applyFont="1" applyBorder="1" applyAlignment="1">
      <alignment horizontal="left" vertical="center"/>
    </xf>
    <xf numFmtId="0" fontId="15" fillId="0" borderId="90" xfId="0" applyFont="1" applyBorder="1" applyAlignment="1">
      <alignment horizontal="center" vertical="center"/>
    </xf>
    <xf numFmtId="0" fontId="7" fillId="0" borderId="90" xfId="0" applyFont="1" applyBorder="1">
      <alignment vertical="center"/>
    </xf>
    <xf numFmtId="0" fontId="21" fillId="0" borderId="0" xfId="0" applyFont="1">
      <alignment vertical="center"/>
    </xf>
    <xf numFmtId="0" fontId="15" fillId="2" borderId="97" xfId="0" applyFont="1" applyFill="1" applyBorder="1" applyAlignment="1">
      <alignment horizontal="center" vertical="center" wrapText="1"/>
    </xf>
    <xf numFmtId="0" fontId="15" fillId="2" borderId="73" xfId="0" applyFont="1" applyFill="1" applyBorder="1" applyAlignment="1">
      <alignment horizontal="center" vertical="center"/>
    </xf>
    <xf numFmtId="0" fontId="7" fillId="2" borderId="81" xfId="0" applyFont="1" applyFill="1" applyBorder="1" applyAlignment="1">
      <alignment horizontal="center" vertical="center"/>
    </xf>
    <xf numFmtId="0" fontId="28" fillId="2" borderId="98" xfId="0" applyFont="1" applyFill="1" applyBorder="1" applyAlignment="1">
      <alignment horizontal="center" vertical="center" wrapText="1"/>
    </xf>
    <xf numFmtId="0" fontId="16" fillId="0" borderId="99" xfId="0" applyFont="1" applyBorder="1" applyAlignment="1">
      <alignment horizontal="center" vertical="center" wrapText="1"/>
    </xf>
    <xf numFmtId="0" fontId="15" fillId="8" borderId="100" xfId="0" applyFont="1" applyFill="1" applyBorder="1" applyAlignment="1">
      <alignment horizontal="center" vertical="center" wrapText="1"/>
    </xf>
    <xf numFmtId="0" fontId="15" fillId="8" borderId="101" xfId="0" applyFont="1" applyFill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/>
    </xf>
    <xf numFmtId="0" fontId="28" fillId="2" borderId="19" xfId="0" applyFont="1" applyFill="1" applyBorder="1" applyAlignment="1">
      <alignment horizontal="center" vertical="center" wrapText="1"/>
    </xf>
    <xf numFmtId="0" fontId="16" fillId="0" borderId="76" xfId="0" applyFont="1" applyBorder="1" applyAlignment="1">
      <alignment horizontal="center" vertical="center" wrapText="1"/>
    </xf>
    <xf numFmtId="0" fontId="15" fillId="8" borderId="57" xfId="0" applyFont="1" applyFill="1" applyBorder="1" applyAlignment="1">
      <alignment horizontal="center" vertical="center" wrapText="1"/>
    </xf>
    <xf numFmtId="0" fontId="15" fillId="8" borderId="62" xfId="0" applyFont="1" applyFill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 wrapText="1"/>
    </xf>
    <xf numFmtId="0" fontId="28" fillId="2" borderId="26" xfId="0" applyFont="1" applyFill="1" applyBorder="1" applyAlignment="1">
      <alignment horizontal="center" vertical="center" wrapText="1"/>
    </xf>
    <xf numFmtId="0" fontId="16" fillId="0" borderId="104" xfId="0" applyFont="1" applyBorder="1" applyAlignment="1">
      <alignment horizontal="center" vertical="center" wrapText="1"/>
    </xf>
    <xf numFmtId="0" fontId="15" fillId="8" borderId="86" xfId="0" applyFont="1" applyFill="1" applyBorder="1" applyAlignment="1">
      <alignment horizontal="center" vertical="center" wrapText="1"/>
    </xf>
    <xf numFmtId="0" fontId="15" fillId="8" borderId="85" xfId="0" applyFont="1" applyFill="1" applyBorder="1" applyAlignment="1">
      <alignment horizontal="center" vertical="center"/>
    </xf>
    <xf numFmtId="0" fontId="16" fillId="0" borderId="10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6" fillId="2" borderId="15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/>
    </xf>
    <xf numFmtId="0" fontId="16" fillId="2" borderId="112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2" borderId="1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horizontal="center" vertical="center" wrapText="1"/>
    </xf>
    <xf numFmtId="0" fontId="16" fillId="0" borderId="7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0" borderId="15" xfId="0" applyFont="1" applyBorder="1" applyAlignment="1">
      <alignment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09" xfId="0" applyFont="1" applyBorder="1" applyAlignment="1">
      <alignment vertical="center" wrapText="1"/>
    </xf>
    <xf numFmtId="0" fontId="18" fillId="8" borderId="115" xfId="0" applyFont="1" applyFill="1" applyBorder="1" applyAlignment="1">
      <alignment horizontal="center" vertical="center" wrapText="1"/>
    </xf>
    <xf numFmtId="0" fontId="13" fillId="0" borderId="11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6" xfId="0" applyFont="1" applyBorder="1" applyAlignment="1">
      <alignment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21" xfId="0" applyFont="1" applyBorder="1" applyAlignment="1">
      <alignment vertical="center" wrapText="1"/>
    </xf>
    <xf numFmtId="0" fontId="18" fillId="8" borderId="56" xfId="0" applyFont="1" applyFill="1" applyBorder="1" applyAlignment="1">
      <alignment horizontal="center" vertical="center" wrapText="1"/>
    </xf>
    <xf numFmtId="0" fontId="13" fillId="0" borderId="76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0" fontId="16" fillId="0" borderId="112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4" xfId="0" applyFont="1" applyBorder="1" applyAlignment="1">
      <alignment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113" xfId="0" applyFont="1" applyBorder="1" applyAlignment="1">
      <alignment vertical="center" wrapText="1"/>
    </xf>
    <xf numFmtId="0" fontId="18" fillId="8" borderId="116" xfId="0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7" fillId="0" borderId="0" xfId="0" quotePrefix="1" applyFont="1">
      <alignment vertical="center"/>
    </xf>
    <xf numFmtId="0" fontId="26" fillId="10" borderId="75" xfId="0" applyFont="1" applyFill="1" applyBorder="1" applyAlignment="1">
      <alignment horizontal="center" vertical="center"/>
    </xf>
    <xf numFmtId="0" fontId="26" fillId="10" borderId="10" xfId="0" applyFont="1" applyFill="1" applyBorder="1" applyAlignment="1">
      <alignment horizontal="center" vertical="center"/>
    </xf>
    <xf numFmtId="0" fontId="26" fillId="10" borderId="77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/>
    </xf>
    <xf numFmtId="0" fontId="26" fillId="7" borderId="14" xfId="0" applyFont="1" applyFill="1" applyBorder="1" applyAlignment="1">
      <alignment horizontal="center" vertical="center"/>
    </xf>
    <xf numFmtId="0" fontId="26" fillId="7" borderId="80" xfId="0" applyFont="1" applyFill="1" applyBorder="1" applyAlignment="1">
      <alignment horizontal="center" vertical="center"/>
    </xf>
    <xf numFmtId="0" fontId="26" fillId="10" borderId="4" xfId="0" applyFont="1" applyFill="1" applyBorder="1" applyAlignment="1">
      <alignment horizontal="center" vertical="center"/>
    </xf>
    <xf numFmtId="0" fontId="26" fillId="7" borderId="81" xfId="0" applyFont="1" applyFill="1" applyBorder="1" applyAlignment="1">
      <alignment horizontal="center" vertical="center"/>
    </xf>
    <xf numFmtId="0" fontId="26" fillId="7" borderId="26" xfId="0" applyFont="1" applyFill="1" applyBorder="1" applyAlignment="1">
      <alignment horizontal="center" vertical="center"/>
    </xf>
    <xf numFmtId="0" fontId="26" fillId="6" borderId="82" xfId="0" applyFont="1" applyFill="1" applyBorder="1" applyAlignment="1">
      <alignment horizontal="center" vertical="center"/>
    </xf>
    <xf numFmtId="0" fontId="26" fillId="10" borderId="88" xfId="0" applyFont="1" applyFill="1" applyBorder="1" applyAlignment="1">
      <alignment horizontal="center" vertical="center"/>
    </xf>
    <xf numFmtId="0" fontId="26" fillId="10" borderId="87" xfId="0" applyFont="1" applyFill="1" applyBorder="1" applyAlignment="1">
      <alignment horizontal="center" vertical="center"/>
    </xf>
    <xf numFmtId="0" fontId="26" fillId="7" borderId="8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6" fillId="6" borderId="85" xfId="0" applyFont="1" applyFill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 shrinkToFit="1"/>
    </xf>
    <xf numFmtId="0" fontId="16" fillId="0" borderId="0" xfId="0" applyFont="1" applyAlignment="1">
      <alignment horizontal="center" vertical="center" wrapText="1" shrinkToFit="1"/>
    </xf>
    <xf numFmtId="0" fontId="16" fillId="0" borderId="0" xfId="0" applyFont="1" applyAlignment="1" applyProtection="1">
      <alignment horizontal="center" vertical="center" wrapText="1" shrinkToFit="1"/>
      <protection hidden="1"/>
    </xf>
    <xf numFmtId="0" fontId="16" fillId="0" borderId="0" xfId="0" applyFont="1" applyAlignment="1" applyProtection="1">
      <alignment horizontal="center" vertical="center" wrapText="1" shrinkToFit="1"/>
      <protection locked="0"/>
    </xf>
    <xf numFmtId="0" fontId="16" fillId="0" borderId="0" xfId="0" applyFont="1" applyAlignment="1" applyProtection="1">
      <alignment horizontal="center" vertical="center" wrapText="1" shrinkToFit="1"/>
      <protection locked="0" hidden="1"/>
    </xf>
    <xf numFmtId="0" fontId="14" fillId="0" borderId="0" xfId="0" applyFont="1" applyAlignment="1">
      <alignment horizontal="center" vertical="center" wrapText="1" shrinkToFit="1"/>
    </xf>
    <xf numFmtId="0" fontId="16" fillId="3" borderId="16" xfId="0" applyFont="1" applyFill="1" applyBorder="1" applyAlignment="1">
      <alignment horizontal="left" vertical="center" wrapText="1" shrinkToFit="1"/>
    </xf>
    <xf numFmtId="9" fontId="15" fillId="0" borderId="0" xfId="1" applyFont="1" applyAlignment="1">
      <alignment horizontal="center" vertical="center" wrapText="1" shrinkToFit="1"/>
    </xf>
    <xf numFmtId="0" fontId="15" fillId="0" borderId="0" xfId="0" applyFont="1" applyAlignment="1">
      <alignment horizontal="center" vertical="center" wrapText="1" shrinkToFit="1"/>
    </xf>
    <xf numFmtId="0" fontId="15" fillId="0" borderId="0" xfId="0" applyFont="1" applyAlignment="1" applyProtection="1">
      <alignment horizontal="center" vertical="center"/>
      <protection hidden="1"/>
    </xf>
    <xf numFmtId="0" fontId="32" fillId="16" borderId="130" xfId="0" applyFont="1" applyFill="1" applyBorder="1" applyAlignment="1">
      <alignment horizontal="center" vertical="center" wrapText="1" readingOrder="1"/>
    </xf>
    <xf numFmtId="0" fontId="32" fillId="0" borderId="130" xfId="0" applyFont="1" applyBorder="1" applyAlignment="1">
      <alignment horizontal="center" vertical="center" wrapText="1" readingOrder="1"/>
    </xf>
    <xf numFmtId="0" fontId="32" fillId="0" borderId="130" xfId="0" applyFont="1" applyBorder="1" applyAlignment="1">
      <alignment horizontal="justify" vertical="center" wrapText="1" readingOrder="1"/>
    </xf>
    <xf numFmtId="0" fontId="16" fillId="3" borderId="16" xfId="0" applyFont="1" applyFill="1" applyBorder="1" applyAlignment="1">
      <alignment horizontal="center" vertical="center" wrapText="1" shrinkToFit="1"/>
    </xf>
    <xf numFmtId="0" fontId="15" fillId="3" borderId="3" xfId="0" applyFont="1" applyFill="1" applyBorder="1" applyAlignment="1" applyProtection="1">
      <alignment horizontal="center" vertical="center" shrinkToFit="1"/>
      <protection locked="0"/>
    </xf>
    <xf numFmtId="0" fontId="14" fillId="0" borderId="49" xfId="0" applyFont="1" applyBorder="1" applyAlignment="1" applyProtection="1">
      <alignment horizontal="center" vertical="center" wrapText="1" shrinkToFit="1"/>
      <protection locked="0"/>
    </xf>
    <xf numFmtId="0" fontId="14" fillId="0" borderId="127" xfId="0" applyFont="1" applyBorder="1" applyAlignment="1" applyProtection="1">
      <alignment horizontal="center" vertical="center" wrapText="1" shrinkToFit="1"/>
      <protection locked="0"/>
    </xf>
    <xf numFmtId="0" fontId="7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3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center" wrapText="1"/>
    </xf>
    <xf numFmtId="0" fontId="31" fillId="12" borderId="8" xfId="0" applyFont="1" applyFill="1" applyBorder="1" applyAlignment="1">
      <alignment horizontal="center" vertical="center"/>
    </xf>
    <xf numFmtId="0" fontId="31" fillId="12" borderId="10" xfId="0" applyFont="1" applyFill="1" applyBorder="1" applyAlignment="1">
      <alignment horizontal="center" vertical="center"/>
    </xf>
    <xf numFmtId="0" fontId="31" fillId="12" borderId="12" xfId="0" applyFont="1" applyFill="1" applyBorder="1" applyAlignment="1">
      <alignment horizontal="center" vertical="center" wrapText="1"/>
    </xf>
    <xf numFmtId="0" fontId="31" fillId="12" borderId="11" xfId="0" applyFont="1" applyFill="1" applyBorder="1" applyAlignment="1">
      <alignment horizontal="center" vertical="center"/>
    </xf>
    <xf numFmtId="0" fontId="31" fillId="12" borderId="11" xfId="0" applyFont="1" applyFill="1" applyBorder="1" applyAlignment="1">
      <alignment horizontal="center" vertical="center" wrapText="1"/>
    </xf>
    <xf numFmtId="0" fontId="31" fillId="12" borderId="3" xfId="0" applyFont="1" applyFill="1" applyBorder="1" applyAlignment="1">
      <alignment horizontal="center" vertical="center"/>
    </xf>
    <xf numFmtId="0" fontId="14" fillId="3" borderId="52" xfId="0" applyFont="1" applyFill="1" applyBorder="1" applyAlignment="1" applyProtection="1">
      <alignment horizontal="center" vertical="center" wrapText="1"/>
      <protection locked="0"/>
    </xf>
    <xf numFmtId="0" fontId="14" fillId="3" borderId="52" xfId="0" applyFont="1" applyFill="1" applyBorder="1" applyAlignment="1" applyProtection="1">
      <alignment vertical="center" wrapText="1"/>
      <protection locked="0"/>
    </xf>
    <xf numFmtId="0" fontId="14" fillId="3" borderId="52" xfId="0" applyFont="1" applyFill="1" applyBorder="1" applyAlignment="1" applyProtection="1">
      <alignment horizontal="center" vertical="center" wrapText="1"/>
      <protection locked="0" hidden="1"/>
    </xf>
    <xf numFmtId="0" fontId="31" fillId="3" borderId="52" xfId="0" applyFont="1" applyFill="1" applyBorder="1" applyAlignment="1" applyProtection="1">
      <alignment horizontal="center" vertical="center" wrapText="1"/>
      <protection locked="0"/>
    </xf>
    <xf numFmtId="49" fontId="14" fillId="3" borderId="52" xfId="2" applyNumberFormat="1" applyFont="1" applyFill="1" applyBorder="1" applyAlignment="1">
      <alignment horizontal="center" vertical="center" wrapText="1"/>
    </xf>
    <xf numFmtId="0" fontId="14" fillId="3" borderId="52" xfId="2" applyFont="1" applyFill="1" applyBorder="1" applyAlignment="1">
      <alignment horizontal="center" vertical="center" wrapText="1"/>
    </xf>
    <xf numFmtId="0" fontId="14" fillId="3" borderId="126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31" fillId="4" borderId="3" xfId="2" applyFont="1" applyFill="1" applyBorder="1" applyAlignment="1">
      <alignment horizontal="center" vertical="center" wrapText="1"/>
    </xf>
    <xf numFmtId="0" fontId="11" fillId="12" borderId="8" xfId="0" applyFont="1" applyFill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1" fillId="12" borderId="12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5" fillId="0" borderId="11" xfId="0" applyFont="1" applyBorder="1" applyAlignment="1" applyProtection="1">
      <alignment horizontal="center" vertical="center" wrapText="1" shrinkToFit="1"/>
      <protection locked="0"/>
    </xf>
    <xf numFmtId="0" fontId="7" fillId="0" borderId="11" xfId="0" applyFont="1" applyBorder="1" applyAlignment="1">
      <alignment horizontal="left" vertical="center" wrapText="1"/>
    </xf>
    <xf numFmtId="0" fontId="7" fillId="3" borderId="11" xfId="0" applyFont="1" applyFill="1" applyBorder="1" applyAlignment="1">
      <alignment horizontal="center" vertical="center"/>
    </xf>
    <xf numFmtId="0" fontId="7" fillId="3" borderId="109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/>
    </xf>
    <xf numFmtId="0" fontId="15" fillId="3" borderId="16" xfId="0" applyFont="1" applyFill="1" applyBorder="1" applyAlignment="1" applyProtection="1">
      <alignment horizontal="center" vertical="center" shrinkToFit="1"/>
      <protection locked="0"/>
    </xf>
    <xf numFmtId="0" fontId="7" fillId="3" borderId="21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 applyProtection="1">
      <alignment horizontal="center" vertical="center" wrapText="1" shrinkToFit="1"/>
      <protection locked="0"/>
    </xf>
    <xf numFmtId="0" fontId="7" fillId="3" borderId="16" xfId="0" applyFont="1" applyFill="1" applyBorder="1" applyAlignment="1">
      <alignment horizontal="center" vertical="center" wrapText="1"/>
    </xf>
    <xf numFmtId="0" fontId="7" fillId="3" borderId="113" xfId="0" applyFont="1" applyFill="1" applyBorder="1" applyAlignment="1">
      <alignment horizontal="center" vertical="center"/>
    </xf>
    <xf numFmtId="0" fontId="15" fillId="3" borderId="133" xfId="0" applyFont="1" applyFill="1" applyBorder="1" applyAlignment="1" applyProtection="1">
      <alignment horizontal="center" vertical="center" shrinkToFit="1"/>
      <protection locked="0"/>
    </xf>
    <xf numFmtId="0" fontId="7" fillId="3" borderId="133" xfId="0" applyFont="1" applyFill="1" applyBorder="1" applyAlignment="1">
      <alignment horizontal="center" vertical="center"/>
    </xf>
    <xf numFmtId="0" fontId="7" fillId="3" borderId="134" xfId="0" applyFont="1" applyFill="1" applyBorder="1" applyAlignment="1">
      <alignment horizontal="left" vertical="center" wrapText="1"/>
    </xf>
    <xf numFmtId="0" fontId="7" fillId="3" borderId="20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109" xfId="0" applyFont="1" applyBorder="1" applyAlignment="1">
      <alignment horizontal="center" vertical="center"/>
    </xf>
    <xf numFmtId="0" fontId="15" fillId="0" borderId="15" xfId="0" applyFont="1" applyBorder="1" applyAlignment="1" applyProtection="1">
      <alignment horizontal="center" vertical="center" shrinkToFit="1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5" fillId="0" borderId="16" xfId="0" applyFont="1" applyBorder="1" applyAlignment="1" applyProtection="1">
      <alignment horizontal="center" vertical="center" wrapText="1" shrinkToFit="1"/>
      <protection locked="0"/>
    </xf>
    <xf numFmtId="0" fontId="7" fillId="0" borderId="16" xfId="0" applyFont="1" applyBorder="1" applyAlignment="1">
      <alignment horizontal="left" vertical="center" wrapText="1"/>
    </xf>
    <xf numFmtId="0" fontId="7" fillId="0" borderId="113" xfId="0" applyFont="1" applyBorder="1" applyAlignment="1">
      <alignment horizontal="center" vertical="center"/>
    </xf>
    <xf numFmtId="0" fontId="15" fillId="0" borderId="20" xfId="0" applyFont="1" applyBorder="1" applyAlignment="1" applyProtection="1">
      <alignment horizontal="center" vertical="center" shrinkToFit="1"/>
      <protection locked="0"/>
    </xf>
    <xf numFmtId="0" fontId="7" fillId="0" borderId="20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left" vertical="center" wrapText="1"/>
    </xf>
    <xf numFmtId="0" fontId="7" fillId="0" borderId="113" xfId="0" applyFont="1" applyBorder="1" applyAlignment="1">
      <alignment horizontal="center" vertical="center" wrapText="1"/>
    </xf>
    <xf numFmtId="0" fontId="15" fillId="0" borderId="24" xfId="0" applyFont="1" applyBorder="1" applyAlignment="1" applyProtection="1">
      <alignment horizontal="center" vertical="center" wrapText="1" shrinkToFit="1"/>
      <protection locked="0"/>
    </xf>
    <xf numFmtId="0" fontId="7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 wrapText="1"/>
    </xf>
    <xf numFmtId="0" fontId="15" fillId="0" borderId="16" xfId="0" applyFont="1" applyBorder="1" applyAlignment="1" applyProtection="1">
      <alignment horizontal="center" vertical="center" shrinkToFit="1"/>
      <protection locked="0"/>
    </xf>
    <xf numFmtId="0" fontId="7" fillId="0" borderId="21" xfId="0" applyFont="1" applyBorder="1" applyAlignment="1">
      <alignment horizontal="center" vertical="center"/>
    </xf>
    <xf numFmtId="0" fontId="15" fillId="3" borderId="20" xfId="0" applyFont="1" applyFill="1" applyBorder="1" applyAlignment="1" applyProtection="1">
      <alignment horizontal="center" vertical="center" shrinkToFit="1"/>
      <protection locked="0"/>
    </xf>
    <xf numFmtId="0" fontId="7" fillId="3" borderId="20" xfId="0" applyFont="1" applyFill="1" applyBorder="1" applyAlignment="1">
      <alignment horizontal="left" vertical="center" wrapText="1"/>
    </xf>
    <xf numFmtId="0" fontId="20" fillId="0" borderId="15" xfId="0" applyFont="1" applyBorder="1" applyAlignment="1">
      <alignment horizontal="center" vertical="center"/>
    </xf>
    <xf numFmtId="0" fontId="20" fillId="0" borderId="109" xfId="0" applyFont="1" applyBorder="1" applyAlignment="1">
      <alignment horizontal="center" vertical="center"/>
    </xf>
    <xf numFmtId="0" fontId="16" fillId="0" borderId="15" xfId="0" applyFont="1" applyBorder="1" applyAlignment="1" applyProtection="1">
      <alignment horizontal="center" vertical="center" shrinkToFit="1"/>
      <protection locked="0"/>
    </xf>
    <xf numFmtId="0" fontId="20" fillId="0" borderId="15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center" vertical="center" wrapText="1"/>
    </xf>
    <xf numFmtId="0" fontId="16" fillId="0" borderId="27" xfId="0" applyFont="1" applyBorder="1" applyAlignment="1" applyProtection="1">
      <alignment horizontal="center" vertical="center" shrinkToFit="1"/>
      <protection locked="0"/>
    </xf>
    <xf numFmtId="0" fontId="15" fillId="3" borderId="24" xfId="0" applyFont="1" applyFill="1" applyBorder="1" applyAlignment="1" applyProtection="1">
      <alignment horizontal="center" vertical="center" shrinkToFit="1"/>
      <protection locked="0"/>
    </xf>
    <xf numFmtId="0" fontId="7" fillId="3" borderId="24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124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/>
    </xf>
    <xf numFmtId="0" fontId="34" fillId="0" borderId="126" xfId="0" applyFont="1" applyBorder="1" applyAlignment="1">
      <alignment horizontal="center" vertical="center"/>
    </xf>
    <xf numFmtId="0" fontId="0" fillId="0" borderId="1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4" xfId="0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0" fillId="0" borderId="13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7" xfId="0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11" fillId="0" borderId="138" xfId="0" applyFont="1" applyBorder="1" applyAlignment="1">
      <alignment horizontal="center" vertical="center"/>
    </xf>
    <xf numFmtId="0" fontId="11" fillId="0" borderId="139" xfId="0" applyFont="1" applyBorder="1" applyAlignment="1">
      <alignment horizontal="center" vertical="center"/>
    </xf>
    <xf numFmtId="0" fontId="11" fillId="0" borderId="140" xfId="0" applyFont="1" applyBorder="1" applyAlignment="1">
      <alignment horizontal="center" vertical="center"/>
    </xf>
    <xf numFmtId="14" fontId="0" fillId="0" borderId="136" xfId="0" applyNumberFormat="1" applyBorder="1" applyAlignment="1">
      <alignment horizontal="center" vertical="center"/>
    </xf>
    <xf numFmtId="0" fontId="15" fillId="0" borderId="3" xfId="0" applyFont="1" applyBorder="1" applyAlignment="1" applyProtection="1">
      <alignment horizontal="center" vertical="center" wrapText="1" shrinkToFit="1"/>
      <protection locked="0"/>
    </xf>
    <xf numFmtId="0" fontId="15" fillId="0" borderId="3" xfId="0" applyFont="1" applyBorder="1" applyAlignment="1" applyProtection="1">
      <alignment horizontal="center" vertical="center" shrinkToFit="1"/>
      <protection locked="0"/>
    </xf>
    <xf numFmtId="0" fontId="16" fillId="0" borderId="3" xfId="0" applyFont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 shrinkToFit="1"/>
    </xf>
    <xf numFmtId="0" fontId="13" fillId="3" borderId="16" xfId="0" applyFont="1" applyFill="1" applyBorder="1" applyAlignment="1">
      <alignment horizontal="left" vertical="center" wrapText="1" shrinkToFit="1"/>
    </xf>
    <xf numFmtId="0" fontId="18" fillId="3" borderId="16" xfId="0" applyFont="1" applyFill="1" applyBorder="1" applyAlignment="1">
      <alignment horizontal="left" vertical="center" wrapText="1" shrinkToFit="1"/>
    </xf>
    <xf numFmtId="0" fontId="18" fillId="0" borderId="16" xfId="0" applyFont="1" applyBorder="1" applyAlignment="1">
      <alignment horizontal="left" vertical="center" wrapText="1" shrinkToFit="1"/>
    </xf>
    <xf numFmtId="0" fontId="13" fillId="0" borderId="25" xfId="0" applyFont="1" applyBorder="1" applyAlignment="1">
      <alignment horizontal="center" vertical="center" wrapText="1" shrinkToFit="1"/>
    </xf>
    <xf numFmtId="0" fontId="18" fillId="0" borderId="0" xfId="0" applyFont="1">
      <alignment vertical="center"/>
    </xf>
    <xf numFmtId="0" fontId="13" fillId="3" borderId="16" xfId="0" quotePrefix="1" applyFont="1" applyFill="1" applyBorder="1" applyAlignment="1">
      <alignment horizontal="left" vertical="center" wrapText="1" shrinkToFit="1"/>
    </xf>
    <xf numFmtId="0" fontId="13" fillId="0" borderId="16" xfId="0" applyFont="1" applyBorder="1" applyAlignment="1">
      <alignment horizontal="left" vertical="center" wrapText="1" shrinkToFit="1"/>
    </xf>
    <xf numFmtId="0" fontId="13" fillId="3" borderId="25" xfId="0" applyFont="1" applyFill="1" applyBorder="1" applyAlignment="1">
      <alignment horizontal="center" vertical="center" wrapText="1" shrinkToFit="1"/>
    </xf>
    <xf numFmtId="0" fontId="16" fillId="3" borderId="25" xfId="0" applyFont="1" applyFill="1" applyBorder="1" applyAlignment="1">
      <alignment horizontal="left" vertical="center" wrapText="1" shrinkToFit="1"/>
    </xf>
    <xf numFmtId="0" fontId="16" fillId="3" borderId="25" xfId="0" applyFont="1" applyFill="1" applyBorder="1" applyAlignment="1">
      <alignment horizontal="center" vertical="center" wrapText="1" shrinkToFit="1"/>
    </xf>
    <xf numFmtId="0" fontId="16" fillId="0" borderId="25" xfId="0" applyFont="1" applyBorder="1" applyAlignment="1">
      <alignment horizontal="center" vertical="center" wrapText="1" shrinkToFit="1"/>
    </xf>
    <xf numFmtId="0" fontId="19" fillId="0" borderId="3" xfId="2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49" fontId="19" fillId="0" borderId="3" xfId="2" quotePrefix="1" applyNumberFormat="1" applyFont="1" applyBorder="1" applyAlignment="1">
      <alignment vertical="center" wrapText="1"/>
    </xf>
    <xf numFmtId="0" fontId="19" fillId="0" borderId="2" xfId="2" applyFont="1" applyBorder="1" applyAlignment="1">
      <alignment horizontal="center" vertical="center" wrapText="1"/>
    </xf>
    <xf numFmtId="0" fontId="19" fillId="0" borderId="3" xfId="0" quotePrefix="1" applyFont="1" applyBorder="1" applyAlignment="1">
      <alignment vertical="center" wrapText="1"/>
    </xf>
    <xf numFmtId="0" fontId="41" fillId="3" borderId="16" xfId="0" applyFont="1" applyFill="1" applyBorder="1" applyAlignment="1">
      <alignment horizontal="left" vertical="center" wrapText="1" shrinkToFit="1"/>
    </xf>
    <xf numFmtId="0" fontId="34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17" xfId="0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4" fillId="0" borderId="29" xfId="0" applyFont="1" applyBorder="1" applyAlignment="1" applyProtection="1">
      <alignment horizontal="center" vertical="center" wrapText="1" shrinkToFit="1"/>
      <protection locked="0"/>
    </xf>
    <xf numFmtId="0" fontId="14" fillId="0" borderId="30" xfId="0" applyFont="1" applyBorder="1" applyAlignment="1" applyProtection="1">
      <alignment horizontal="center" vertical="center" wrapText="1" shrinkToFit="1"/>
      <protection locked="0"/>
    </xf>
    <xf numFmtId="0" fontId="14" fillId="0" borderId="31" xfId="0" applyFont="1" applyBorder="1" applyAlignment="1" applyProtection="1">
      <alignment horizontal="center" vertical="center" wrapText="1" shrinkToFit="1"/>
      <protection locked="0"/>
    </xf>
    <xf numFmtId="0" fontId="14" fillId="0" borderId="128" xfId="0" applyFont="1" applyBorder="1" applyAlignment="1" applyProtection="1">
      <alignment horizontal="center" vertical="center" wrapText="1" shrinkToFit="1"/>
      <protection locked="0"/>
    </xf>
    <xf numFmtId="0" fontId="14" fillId="0" borderId="129" xfId="0" applyFont="1" applyBorder="1" applyAlignment="1" applyProtection="1">
      <alignment horizontal="center" vertical="center" wrapText="1" shrinkToFit="1"/>
      <protection locked="0"/>
    </xf>
    <xf numFmtId="0" fontId="14" fillId="0" borderId="8" xfId="0" applyFont="1" applyBorder="1" applyAlignment="1" applyProtection="1">
      <alignment horizontal="center" vertical="center" wrapText="1" shrinkToFit="1"/>
      <protection locked="0"/>
    </xf>
    <xf numFmtId="0" fontId="14" fillId="0" borderId="41" xfId="0" applyFont="1" applyBorder="1" applyAlignment="1" applyProtection="1">
      <alignment horizontal="center" vertical="center" wrapText="1" shrinkToFit="1"/>
      <protection locked="0"/>
    </xf>
    <xf numFmtId="0" fontId="14" fillId="0" borderId="48" xfId="0" applyFont="1" applyBorder="1" applyAlignment="1" applyProtection="1">
      <alignment horizontal="center" vertical="center" wrapText="1" shrinkToFit="1"/>
      <protection locked="0"/>
    </xf>
    <xf numFmtId="0" fontId="14" fillId="0" borderId="37" xfId="2" applyFont="1" applyBorder="1" applyAlignment="1">
      <alignment horizontal="center" vertical="center" wrapText="1" shrinkToFit="1"/>
    </xf>
    <xf numFmtId="0" fontId="14" fillId="0" borderId="39" xfId="2" applyFont="1" applyBorder="1" applyAlignment="1">
      <alignment horizontal="center" vertical="center" wrapText="1" shrinkToFit="1"/>
    </xf>
    <xf numFmtId="0" fontId="14" fillId="0" borderId="46" xfId="2" applyFont="1" applyBorder="1" applyAlignment="1">
      <alignment horizontal="center" vertical="center" wrapText="1" shrinkToFit="1"/>
    </xf>
    <xf numFmtId="0" fontId="14" fillId="0" borderId="9" xfId="0" applyFont="1" applyBorder="1" applyAlignment="1" applyProtection="1">
      <alignment horizontal="center" vertical="center" wrapText="1" shrinkToFit="1"/>
      <protection locked="0"/>
    </xf>
    <xf numFmtId="0" fontId="14" fillId="0" borderId="5" xfId="0" applyFont="1" applyBorder="1" applyAlignment="1" applyProtection="1">
      <alignment horizontal="center" vertical="center" wrapText="1" shrinkToFit="1"/>
      <protection locked="0"/>
    </xf>
    <xf numFmtId="0" fontId="14" fillId="0" borderId="45" xfId="0" applyFont="1" applyBorder="1" applyAlignment="1" applyProtection="1">
      <alignment horizontal="center" vertical="center" wrapText="1" shrinkToFit="1"/>
      <protection locked="0"/>
    </xf>
    <xf numFmtId="0" fontId="14" fillId="0" borderId="59" xfId="0" applyFont="1" applyBorder="1" applyAlignment="1" applyProtection="1">
      <alignment horizontal="center" vertical="center" wrapText="1" shrinkToFit="1"/>
      <protection locked="0"/>
    </xf>
    <xf numFmtId="0" fontId="14" fillId="0" borderId="40" xfId="0" applyFont="1" applyBorder="1" applyAlignment="1" applyProtection="1">
      <alignment horizontal="center" vertical="center" wrapText="1" shrinkToFit="1"/>
      <protection locked="0"/>
    </xf>
    <xf numFmtId="0" fontId="14" fillId="0" borderId="35" xfId="0" applyFont="1" applyBorder="1" applyAlignment="1" applyProtection="1">
      <alignment horizontal="center" vertical="center" wrapText="1" shrinkToFit="1"/>
      <protection locked="0"/>
    </xf>
    <xf numFmtId="0" fontId="14" fillId="0" borderId="36" xfId="0" applyFont="1" applyBorder="1" applyAlignment="1" applyProtection="1">
      <alignment horizontal="center" vertical="center" wrapText="1" shrinkToFit="1"/>
      <protection locked="0"/>
    </xf>
    <xf numFmtId="0" fontId="14" fillId="0" borderId="38" xfId="0" applyFont="1" applyBorder="1" applyAlignment="1" applyProtection="1">
      <alignment horizontal="center" vertical="center" wrapText="1" shrinkToFit="1"/>
      <protection locked="0"/>
    </xf>
    <xf numFmtId="0" fontId="14" fillId="0" borderId="44" xfId="0" applyFont="1" applyBorder="1" applyAlignment="1" applyProtection="1">
      <alignment horizontal="center" vertical="center" wrapText="1" shrinkToFit="1"/>
      <protection locked="0"/>
    </xf>
    <xf numFmtId="0" fontId="14" fillId="0" borderId="37" xfId="0" applyFont="1" applyBorder="1" applyAlignment="1" applyProtection="1">
      <alignment horizontal="center" vertical="center" wrapText="1" shrinkToFit="1"/>
      <protection locked="0"/>
    </xf>
    <xf numFmtId="0" fontId="14" fillId="0" borderId="39" xfId="0" applyFont="1" applyBorder="1" applyAlignment="1" applyProtection="1">
      <alignment horizontal="center" vertical="center" wrapText="1" shrinkToFit="1"/>
      <protection locked="0"/>
    </xf>
    <xf numFmtId="0" fontId="14" fillId="0" borderId="46" xfId="0" applyFont="1" applyBorder="1" applyAlignment="1" applyProtection="1">
      <alignment horizontal="center" vertical="center" wrapText="1" shrinkToFit="1"/>
      <protection locked="0"/>
    </xf>
    <xf numFmtId="0" fontId="14" fillId="0" borderId="37" xfId="0" applyFont="1" applyBorder="1" applyAlignment="1" applyProtection="1">
      <alignment horizontal="center" vertical="center" wrapText="1" shrinkToFit="1"/>
      <protection locked="0" hidden="1"/>
    </xf>
    <xf numFmtId="0" fontId="14" fillId="0" borderId="39" xfId="0" applyFont="1" applyBorder="1" applyAlignment="1" applyProtection="1">
      <alignment horizontal="center" vertical="center" wrapText="1" shrinkToFit="1"/>
      <protection locked="0" hidden="1"/>
    </xf>
    <xf numFmtId="0" fontId="14" fillId="0" borderId="46" xfId="0" applyFont="1" applyBorder="1" applyAlignment="1" applyProtection="1">
      <alignment horizontal="center" vertical="center" wrapText="1" shrinkToFit="1"/>
      <protection locked="0" hidden="1"/>
    </xf>
    <xf numFmtId="0" fontId="14" fillId="0" borderId="1" xfId="0" applyFont="1" applyBorder="1" applyAlignment="1" applyProtection="1">
      <alignment horizontal="center" vertical="center" wrapText="1" shrinkToFit="1"/>
      <protection locked="0"/>
    </xf>
    <xf numFmtId="0" fontId="14" fillId="0" borderId="0" xfId="0" applyFont="1" applyAlignment="1" applyProtection="1">
      <alignment horizontal="center" vertical="center" wrapText="1" shrinkToFit="1"/>
      <protection locked="0"/>
    </xf>
    <xf numFmtId="0" fontId="14" fillId="0" borderId="90" xfId="0" applyFont="1" applyBorder="1" applyAlignment="1" applyProtection="1">
      <alignment horizontal="center" vertical="center" wrapText="1" shrinkToFit="1"/>
      <protection locked="0"/>
    </xf>
    <xf numFmtId="49" fontId="14" fillId="0" borderId="36" xfId="2" applyNumberFormat="1" applyFont="1" applyBorder="1" applyAlignment="1">
      <alignment horizontal="center" vertical="center" wrapText="1" shrinkToFit="1"/>
    </xf>
    <xf numFmtId="49" fontId="14" fillId="0" borderId="38" xfId="2" applyNumberFormat="1" applyFont="1" applyBorder="1" applyAlignment="1">
      <alignment horizontal="center" vertical="center" wrapText="1" shrinkToFit="1"/>
    </xf>
    <xf numFmtId="49" fontId="14" fillId="0" borderId="44" xfId="2" applyNumberFormat="1" applyFont="1" applyBorder="1" applyAlignment="1">
      <alignment horizontal="center" vertical="center" wrapText="1" shrinkToFit="1"/>
    </xf>
    <xf numFmtId="0" fontId="14" fillId="0" borderId="9" xfId="2" applyFont="1" applyBorder="1" applyAlignment="1">
      <alignment horizontal="center" vertical="center" wrapText="1" shrinkToFit="1"/>
    </xf>
    <xf numFmtId="0" fontId="14" fillId="0" borderId="5" xfId="2" applyFont="1" applyBorder="1" applyAlignment="1">
      <alignment horizontal="center" vertical="center" wrapText="1" shrinkToFit="1"/>
    </xf>
    <xf numFmtId="0" fontId="14" fillId="0" borderId="45" xfId="2" applyFont="1" applyBorder="1" applyAlignment="1">
      <alignment horizontal="center" vertical="center" wrapText="1" shrinkToFit="1"/>
    </xf>
    <xf numFmtId="0" fontId="0" fillId="0" borderId="37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39" xfId="0" applyBorder="1" applyAlignment="1">
      <alignment horizontal="right" vertical="center"/>
    </xf>
    <xf numFmtId="0" fontId="0" fillId="0" borderId="121" xfId="0" applyBorder="1" applyAlignment="1">
      <alignment horizontal="right" vertical="center"/>
    </xf>
    <xf numFmtId="0" fontId="0" fillId="0" borderId="46" xfId="0" applyBorder="1" applyAlignment="1">
      <alignment horizontal="right" vertical="center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 applyProtection="1">
      <alignment horizontal="center" vertical="center"/>
      <protection locked="0"/>
    </xf>
    <xf numFmtId="0" fontId="4" fillId="4" borderId="29" xfId="0" applyFont="1" applyFill="1" applyBorder="1" applyAlignment="1" applyProtection="1">
      <alignment horizontal="center" vertical="center"/>
      <protection locked="0"/>
    </xf>
    <xf numFmtId="0" fontId="3" fillId="3" borderId="32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4" fillId="4" borderId="36" xfId="0" applyFont="1" applyFill="1" applyBorder="1" applyAlignment="1" applyProtection="1">
      <alignment horizontal="center" vertical="center"/>
      <protection locked="0"/>
    </xf>
    <xf numFmtId="0" fontId="4" fillId="4" borderId="38" xfId="0" applyFont="1" applyFill="1" applyBorder="1" applyAlignment="1" applyProtection="1">
      <alignment horizontal="center" vertical="center"/>
      <protection locked="0"/>
    </xf>
    <xf numFmtId="0" fontId="4" fillId="4" borderId="44" xfId="0" applyFont="1" applyFill="1" applyBorder="1" applyAlignment="1" applyProtection="1">
      <alignment horizontal="center" vertical="center"/>
      <protection locked="0"/>
    </xf>
    <xf numFmtId="0" fontId="4" fillId="4" borderId="37" xfId="0" applyFont="1" applyFill="1" applyBorder="1" applyAlignment="1" applyProtection="1">
      <alignment horizontal="center" vertical="center" wrapText="1"/>
      <protection locked="0"/>
    </xf>
    <xf numFmtId="0" fontId="4" fillId="4" borderId="39" xfId="0" applyFont="1" applyFill="1" applyBorder="1" applyAlignment="1" applyProtection="1">
      <alignment horizontal="center" vertical="center" wrapText="1"/>
      <protection locked="0"/>
    </xf>
    <xf numFmtId="0" fontId="4" fillId="4" borderId="46" xfId="0" applyFont="1" applyFill="1" applyBorder="1" applyAlignment="1" applyProtection="1">
      <alignment horizontal="center" vertical="center" wrapText="1"/>
      <protection locked="0"/>
    </xf>
    <xf numFmtId="0" fontId="4" fillId="4" borderId="8" xfId="0" applyFont="1" applyFill="1" applyBorder="1" applyAlignment="1" applyProtection="1">
      <alignment horizontal="center" vertical="center"/>
      <protection locked="0"/>
    </xf>
    <xf numFmtId="0" fontId="4" fillId="4" borderId="40" xfId="0" applyFont="1" applyFill="1" applyBorder="1" applyAlignment="1" applyProtection="1">
      <alignment horizontal="center" vertical="center"/>
      <protection locked="0"/>
    </xf>
    <xf numFmtId="0" fontId="4" fillId="4" borderId="39" xfId="0" applyFont="1" applyFill="1" applyBorder="1" applyAlignment="1" applyProtection="1">
      <alignment horizontal="center" vertical="center"/>
      <protection locked="0"/>
    </xf>
    <xf numFmtId="0" fontId="4" fillId="4" borderId="46" xfId="0" applyFont="1" applyFill="1" applyBorder="1" applyAlignment="1" applyProtection="1">
      <alignment horizontal="center" vertical="center"/>
      <protection locked="0"/>
    </xf>
    <xf numFmtId="0" fontId="4" fillId="4" borderId="8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4" fillId="4" borderId="9" xfId="0" applyFont="1" applyFill="1" applyBorder="1" applyAlignment="1" applyProtection="1">
      <alignment horizontal="center" vertical="center" wrapText="1"/>
      <protection locked="0"/>
    </xf>
    <xf numFmtId="0" fontId="4" fillId="4" borderId="40" xfId="0" applyFont="1" applyFill="1" applyBorder="1" applyAlignment="1" applyProtection="1">
      <alignment horizontal="center" vertical="center" wrapText="1"/>
      <protection locked="0"/>
    </xf>
    <xf numFmtId="0" fontId="4" fillId="4" borderId="7" xfId="0" applyFont="1" applyFill="1" applyBorder="1" applyAlignment="1" applyProtection="1">
      <alignment horizontal="center" vertical="center" wrapText="1"/>
      <protection locked="0"/>
    </xf>
    <xf numFmtId="0" fontId="4" fillId="4" borderId="42" xfId="0" applyFont="1" applyFill="1" applyBorder="1" applyAlignment="1" applyProtection="1">
      <alignment horizontal="center" vertical="center" wrapText="1"/>
      <protection locked="0"/>
    </xf>
    <xf numFmtId="0" fontId="3" fillId="4" borderId="3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5" borderId="37" xfId="0" applyFont="1" applyFill="1" applyBorder="1" applyAlignment="1" applyProtection="1">
      <alignment horizontal="center" vertical="center"/>
      <protection locked="0"/>
    </xf>
    <xf numFmtId="0" fontId="4" fillId="5" borderId="8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0" fontId="4" fillId="5" borderId="59" xfId="0" applyFont="1" applyFill="1" applyBorder="1" applyAlignment="1" applyProtection="1">
      <alignment horizontal="center" vertical="center" wrapText="1"/>
      <protection locked="0"/>
    </xf>
    <xf numFmtId="0" fontId="4" fillId="5" borderId="40" xfId="0" applyFont="1" applyFill="1" applyBorder="1" applyAlignment="1" applyProtection="1">
      <alignment horizontal="center" vertical="center" wrapText="1"/>
      <protection locked="0"/>
    </xf>
    <xf numFmtId="0" fontId="4" fillId="5" borderId="7" xfId="0" applyFont="1" applyFill="1" applyBorder="1" applyAlignment="1" applyProtection="1">
      <alignment horizontal="center" vertical="center" wrapText="1"/>
      <protection locked="0"/>
    </xf>
    <xf numFmtId="0" fontId="4" fillId="5" borderId="35" xfId="0" applyFont="1" applyFill="1" applyBorder="1" applyAlignment="1" applyProtection="1">
      <alignment horizontal="center" vertical="center" wrapText="1"/>
      <protection locked="0"/>
    </xf>
    <xf numFmtId="0" fontId="4" fillId="4" borderId="37" xfId="0" applyFont="1" applyFill="1" applyBorder="1" applyAlignment="1" applyProtection="1">
      <alignment horizontal="center" vertical="center"/>
      <protection locked="0"/>
    </xf>
    <xf numFmtId="0" fontId="4" fillId="4" borderId="59" xfId="0" applyFont="1" applyFill="1" applyBorder="1" applyAlignment="1" applyProtection="1">
      <alignment horizontal="center" vertical="center" wrapText="1"/>
      <protection locked="0"/>
    </xf>
    <xf numFmtId="0" fontId="4" fillId="4" borderId="35" xfId="0" applyFont="1" applyFill="1" applyBorder="1" applyAlignment="1" applyProtection="1">
      <alignment horizontal="center" vertical="center" wrapText="1"/>
      <protection locked="0"/>
    </xf>
    <xf numFmtId="0" fontId="4" fillId="5" borderId="29" xfId="0" applyFont="1" applyFill="1" applyBorder="1" applyAlignment="1" applyProtection="1">
      <alignment horizontal="center" vertical="center"/>
      <protection locked="0"/>
    </xf>
    <xf numFmtId="0" fontId="4" fillId="5" borderId="30" xfId="0" applyFont="1" applyFill="1" applyBorder="1" applyAlignment="1" applyProtection="1">
      <alignment horizontal="center" vertical="center"/>
      <protection locked="0"/>
    </xf>
    <xf numFmtId="0" fontId="4" fillId="5" borderId="31" xfId="0" applyFont="1" applyFill="1" applyBorder="1" applyAlignment="1" applyProtection="1">
      <alignment horizontal="center" vertical="center"/>
      <protection locked="0"/>
    </xf>
    <xf numFmtId="0" fontId="4" fillId="5" borderId="34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4" fillId="5" borderId="35" xfId="0" applyFont="1" applyFill="1" applyBorder="1" applyAlignment="1" applyProtection="1">
      <alignment horizontal="center" vertical="center"/>
      <protection locked="0"/>
    </xf>
    <xf numFmtId="0" fontId="4" fillId="5" borderId="36" xfId="0" applyFont="1" applyFill="1" applyBorder="1" applyAlignment="1" applyProtection="1">
      <alignment horizontal="center" vertical="center"/>
      <protection locked="0"/>
    </xf>
    <xf numFmtId="0" fontId="4" fillId="5" borderId="38" xfId="0" applyFont="1" applyFill="1" applyBorder="1" applyAlignment="1" applyProtection="1">
      <alignment horizontal="center" vertical="center"/>
      <protection locked="0"/>
    </xf>
    <xf numFmtId="0" fontId="4" fillId="5" borderId="44" xfId="0" applyFont="1" applyFill="1" applyBorder="1" applyAlignment="1" applyProtection="1">
      <alignment horizontal="center" vertical="center"/>
      <protection locked="0"/>
    </xf>
    <xf numFmtId="0" fontId="4" fillId="5" borderId="37" xfId="0" applyFont="1" applyFill="1" applyBorder="1" applyAlignment="1" applyProtection="1">
      <alignment horizontal="center" vertical="center" wrapText="1"/>
      <protection locked="0"/>
    </xf>
    <xf numFmtId="0" fontId="4" fillId="5" borderId="39" xfId="0" applyFont="1" applyFill="1" applyBorder="1" applyAlignment="1" applyProtection="1">
      <alignment horizontal="center" vertical="center" wrapText="1"/>
      <protection locked="0"/>
    </xf>
    <xf numFmtId="0" fontId="4" fillId="5" borderId="46" xfId="0" applyFont="1" applyFill="1" applyBorder="1" applyAlignment="1" applyProtection="1">
      <alignment horizontal="center" vertical="center" wrapText="1"/>
      <protection locked="0"/>
    </xf>
    <xf numFmtId="0" fontId="4" fillId="4" borderId="30" xfId="0" applyFont="1" applyFill="1" applyBorder="1" applyAlignment="1" applyProtection="1">
      <alignment horizontal="center" vertical="center"/>
      <protection locked="0"/>
    </xf>
    <xf numFmtId="0" fontId="4" fillId="4" borderId="31" xfId="0" applyFont="1" applyFill="1" applyBorder="1" applyAlignment="1" applyProtection="1">
      <alignment horizontal="center" vertical="center"/>
      <protection locked="0"/>
    </xf>
    <xf numFmtId="0" fontId="4" fillId="4" borderId="34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4" borderId="35" xfId="0" applyFont="1" applyFill="1" applyBorder="1" applyAlignment="1" applyProtection="1">
      <alignment horizontal="center" vertical="center"/>
      <protection locked="0"/>
    </xf>
    <xf numFmtId="0" fontId="31" fillId="3" borderId="68" xfId="0" applyFont="1" applyFill="1" applyBorder="1" applyAlignment="1" applyProtection="1">
      <alignment horizontal="center" vertical="center"/>
      <protection locked="0"/>
    </xf>
    <xf numFmtId="0" fontId="31" fillId="3" borderId="125" xfId="0" applyFont="1" applyFill="1" applyBorder="1" applyAlignment="1" applyProtection="1">
      <alignment horizontal="center" vertical="center"/>
      <protection locked="0"/>
    </xf>
    <xf numFmtId="0" fontId="31" fillId="3" borderId="119" xfId="0" applyFont="1" applyFill="1" applyBorder="1" applyAlignment="1" applyProtection="1">
      <alignment horizontal="center" vertical="center"/>
      <protection locked="0"/>
    </xf>
    <xf numFmtId="0" fontId="31" fillId="3" borderId="122" xfId="0" applyFont="1" applyFill="1" applyBorder="1" applyAlignment="1" applyProtection="1">
      <alignment horizontal="center" vertical="center"/>
      <protection locked="0"/>
    </xf>
    <xf numFmtId="0" fontId="14" fillId="3" borderId="119" xfId="0" applyFont="1" applyFill="1" applyBorder="1" applyAlignment="1" applyProtection="1">
      <alignment horizontal="center" vertical="center" wrapText="1"/>
      <protection locked="0"/>
    </xf>
    <xf numFmtId="0" fontId="31" fillId="3" borderId="119" xfId="0" applyFont="1" applyFill="1" applyBorder="1" applyAlignment="1" applyProtection="1">
      <alignment horizontal="center" vertical="center" wrapText="1"/>
      <protection locked="0"/>
    </xf>
    <xf numFmtId="0" fontId="14" fillId="3" borderId="120" xfId="0" applyFont="1" applyFill="1" applyBorder="1" applyAlignment="1" applyProtection="1">
      <alignment horizontal="center" vertical="center" wrapText="1" shrinkToFit="1"/>
      <protection locked="0"/>
    </xf>
    <xf numFmtId="0" fontId="14" fillId="3" borderId="129" xfId="0" applyFont="1" applyFill="1" applyBorder="1" applyAlignment="1" applyProtection="1">
      <alignment horizontal="center" vertical="center" wrapText="1" shrinkToFit="1"/>
      <protection locked="0"/>
    </xf>
    <xf numFmtId="0" fontId="14" fillId="3" borderId="131" xfId="0" applyFont="1" applyFill="1" applyBorder="1" applyAlignment="1" applyProtection="1">
      <alignment horizontal="center" vertical="center" wrapText="1" shrinkToFit="1"/>
      <protection locked="0"/>
    </xf>
    <xf numFmtId="0" fontId="33" fillId="0" borderId="7" xfId="0" applyFont="1" applyBorder="1" applyAlignment="1">
      <alignment horizontal="left" vertical="center"/>
    </xf>
    <xf numFmtId="49" fontId="31" fillId="13" borderId="37" xfId="2" applyNumberFormat="1" applyFont="1" applyFill="1" applyBorder="1" applyAlignment="1">
      <alignment horizontal="center" vertical="center" wrapText="1"/>
    </xf>
    <xf numFmtId="49" fontId="31" fillId="13" borderId="6" xfId="2" applyNumberFormat="1" applyFont="1" applyFill="1" applyBorder="1" applyAlignment="1">
      <alignment horizontal="center" vertical="center" wrapText="1"/>
    </xf>
    <xf numFmtId="49" fontId="31" fillId="13" borderId="3" xfId="2" applyNumberFormat="1" applyFont="1" applyFill="1" applyBorder="1" applyAlignment="1">
      <alignment horizontal="center" vertical="center" wrapText="1"/>
    </xf>
    <xf numFmtId="0" fontId="31" fillId="13" borderId="37" xfId="2" applyFont="1" applyFill="1" applyBorder="1" applyAlignment="1">
      <alignment horizontal="center" vertical="center" wrapText="1"/>
    </xf>
    <xf numFmtId="0" fontId="31" fillId="13" borderId="6" xfId="2" applyFont="1" applyFill="1" applyBorder="1" applyAlignment="1">
      <alignment horizontal="center" vertical="center" wrapText="1"/>
    </xf>
    <xf numFmtId="0" fontId="31" fillId="4" borderId="2" xfId="2" applyFont="1" applyFill="1" applyBorder="1" applyAlignment="1">
      <alignment horizontal="center" vertical="center" wrapText="1"/>
    </xf>
    <xf numFmtId="0" fontId="31" fillId="4" borderId="117" xfId="2" applyFont="1" applyFill="1" applyBorder="1" applyAlignment="1">
      <alignment horizontal="center" vertical="center" wrapText="1"/>
    </xf>
    <xf numFmtId="0" fontId="31" fillId="4" borderId="118" xfId="2" applyFont="1" applyFill="1" applyBorder="1" applyAlignment="1">
      <alignment horizontal="center" vertical="center" wrapText="1"/>
    </xf>
    <xf numFmtId="0" fontId="15" fillId="2" borderId="110" xfId="0" applyFont="1" applyFill="1" applyBorder="1" applyAlignment="1">
      <alignment horizontal="center" vertical="center" wrapText="1"/>
    </xf>
    <xf numFmtId="0" fontId="15" fillId="2" borderId="114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106" xfId="0" applyFont="1" applyBorder="1" applyAlignment="1">
      <alignment horizontal="center" vertical="center"/>
    </xf>
    <xf numFmtId="0" fontId="19" fillId="0" borderId="107" xfId="0" applyFont="1" applyBorder="1" applyAlignment="1">
      <alignment horizontal="center" vertical="center"/>
    </xf>
    <xf numFmtId="0" fontId="19" fillId="0" borderId="108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0" fontId="7" fillId="0" borderId="108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6" fillId="2" borderId="74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09" xfId="0" applyFont="1" applyFill="1" applyBorder="1" applyAlignment="1">
      <alignment horizontal="center" vertical="center" wrapText="1"/>
    </xf>
    <xf numFmtId="0" fontId="16" fillId="2" borderId="111" xfId="0" applyFont="1" applyFill="1" applyBorder="1" applyAlignment="1">
      <alignment horizontal="center" vertical="center" wrapText="1"/>
    </xf>
    <xf numFmtId="0" fontId="16" fillId="2" borderId="104" xfId="0" applyFont="1" applyFill="1" applyBorder="1" applyAlignment="1">
      <alignment horizontal="center" vertical="center" wrapText="1"/>
    </xf>
    <xf numFmtId="0" fontId="15" fillId="2" borderId="92" xfId="0" applyFont="1" applyFill="1" applyBorder="1" applyAlignment="1">
      <alignment horizontal="center" vertical="center" wrapText="1"/>
    </xf>
    <xf numFmtId="0" fontId="15" fillId="2" borderId="96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5" fillId="2" borderId="93" xfId="0" applyFont="1" applyFill="1" applyBorder="1" applyAlignment="1">
      <alignment horizontal="center" vertical="center" wrapText="1"/>
    </xf>
    <xf numFmtId="0" fontId="15" fillId="2" borderId="94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2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left" vertical="center"/>
    </xf>
    <xf numFmtId="0" fontId="7" fillId="2" borderId="63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65" xfId="0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horizontal="center" vertical="center"/>
    </xf>
    <xf numFmtId="0" fontId="7" fillId="2" borderId="67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2" borderId="91" xfId="0" applyFont="1" applyFill="1" applyBorder="1" applyAlignment="1">
      <alignment horizontal="center" vertical="center"/>
    </xf>
    <xf numFmtId="0" fontId="7" fillId="2" borderId="95" xfId="0" applyFont="1" applyFill="1" applyBorder="1" applyAlignment="1">
      <alignment horizontal="center" vertical="center"/>
    </xf>
    <xf numFmtId="0" fontId="20" fillId="0" borderId="9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0" fontId="20" fillId="0" borderId="95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20" fillId="0" borderId="13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3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32" xfId="0" applyFont="1" applyBorder="1" applyAlignment="1">
      <alignment horizontal="center" vertical="center"/>
    </xf>
    <xf numFmtId="0" fontId="15" fillId="0" borderId="141" xfId="0" applyFont="1" applyBorder="1" applyAlignment="1">
      <alignment horizontal="center" vertical="center"/>
    </xf>
    <xf numFmtId="0" fontId="15" fillId="0" borderId="142" xfId="0" applyFont="1" applyBorder="1" applyAlignment="1">
      <alignment horizontal="center" vertical="center"/>
    </xf>
    <xf numFmtId="0" fontId="0" fillId="0" borderId="143" xfId="0" applyBorder="1">
      <alignment vertical="center"/>
    </xf>
    <xf numFmtId="0" fontId="19" fillId="0" borderId="2" xfId="0" applyFont="1" applyBorder="1" applyAlignment="1">
      <alignment horizontal="center" vertical="center" wrapText="1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</cellXfs>
  <cellStyles count="5">
    <cellStyle name="나쁨" xfId="4" builtinId="27"/>
    <cellStyle name="백분율" xfId="1" builtinId="5"/>
    <cellStyle name="표준" xfId="0" builtinId="0"/>
    <cellStyle name="표준 2" xfId="2" xr:uid="{5A4D99B1-D145-40A2-8942-A828976A1BF8}"/>
    <cellStyle name="표준 2 3" xfId="3" xr:uid="{22228F02-8A08-440E-BC76-18A8DB630A26}"/>
  </cellStyles>
  <dxfs count="1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313765</xdr:colOff>
      <xdr:row>20</xdr:row>
      <xdr:rowOff>168089</xdr:rowOff>
    </xdr:from>
    <xdr:to>
      <xdr:col>2</xdr:col>
      <xdr:colOff>1546412</xdr:colOff>
      <xdr:row>22</xdr:row>
      <xdr:rowOff>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A380E83-3212-4366-B6A7-978984985498}"/>
            </a:ext>
          </a:extLst>
        </xdr:cNvPr>
        <xdr:cNvSpPr/>
      </xdr:nvSpPr>
      <xdr:spPr>
        <a:xfrm>
          <a:off x="2180665" y="4740089"/>
          <a:ext cx="746872" cy="241487"/>
        </a:xfrm>
        <a:prstGeom prst="rect">
          <a:avLst/>
        </a:prstGeom>
        <a:solidFill>
          <a:srgbClr val="FFFF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  <a:latin typeface="나눔스퀘어" panose="020B0600000101010101" pitchFamily="50" charset="-127"/>
              <a:ea typeface="나눔스퀘어" panose="020B0600000101010101" pitchFamily="50" charset="-127"/>
            </a:rPr>
            <a:t>당사 채택 기준</a:t>
          </a:r>
        </a:p>
      </xdr:txBody>
    </xdr:sp>
    <xdr:clientData/>
  </xdr:twoCellAnchor>
  <xdr:twoCellAnchor>
    <xdr:from>
      <xdr:col>2</xdr:col>
      <xdr:colOff>313765</xdr:colOff>
      <xdr:row>32</xdr:row>
      <xdr:rowOff>168090</xdr:rowOff>
    </xdr:from>
    <xdr:to>
      <xdr:col>2</xdr:col>
      <xdr:colOff>1546412</xdr:colOff>
      <xdr:row>34</xdr:row>
      <xdr:rowOff>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4BBE0D-B2D0-42B4-A727-77F3277CCF0C}"/>
            </a:ext>
          </a:extLst>
        </xdr:cNvPr>
        <xdr:cNvSpPr/>
      </xdr:nvSpPr>
      <xdr:spPr>
        <a:xfrm>
          <a:off x="2180665" y="7264215"/>
          <a:ext cx="746872" cy="279587"/>
        </a:xfrm>
        <a:prstGeom prst="rect">
          <a:avLst/>
        </a:prstGeom>
        <a:solidFill>
          <a:srgbClr val="FFFF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나눔스퀘어" panose="020B0600000101010101" pitchFamily="50" charset="-127"/>
              <a:ea typeface="나눔스퀘어" panose="020B0600000101010101" pitchFamily="50" charset="-127"/>
              <a:cs typeface="+mn-cs"/>
            </a:rPr>
            <a:t>당사 채택 기준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김태훈(Taehoon Kim) 팀장 Doosan Bobcat" id="{542F190F-6428-46C4-BE03-6F0706C45D1A}" userId="S::coolth@doosan.com::94fca7ea-c48a-41ff-b0af-abd2079639d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5-06-24T02:03:50.27" personId="{542F190F-6428-46C4-BE03-6F0706C45D1A}" id="{34367A89-67BB-469C-AB21-CA064B73F9C6}">
    <text>1-5에서 선택</text>
  </threadedComment>
  <threadedComment ref="G3" dT="2025-06-24T02:04:23.96" personId="{542F190F-6428-46C4-BE03-6F0706C45D1A}" id="{60F1B2BC-8501-4BBD-ACE6-C26C52FAE340}">
    <text>1-5에서 선택</text>
  </threadedComment>
  <threadedComment ref="I3" dT="2025-06-24T02:13:00.10" personId="{542F190F-6428-46C4-BE03-6F0706C45D1A}" id="{EC435E2C-6B54-449F-8AAB-219586F87D9D}">
    <text>Risk 척도는 5단계이며, MH이상 위험이 20~30%이상 될 수 있도록 분류를 요청드립니다. 
VH(Very High), H(High), H(Medium High), , M(Medium), L(Low)</text>
  </threadedComment>
  <threadedComment ref="K3" dT="2025-06-24T02:14:53.34" personId="{542F190F-6428-46C4-BE03-6F0706C45D1A}" id="{C150852F-CE80-4943-9CDE-57BF20C84734}">
    <text>MH이상인 경우에 통제방안2도 작성 = RISK를 L이나 M으로 평가시 통제2는 작성하지 않아도 무방함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" dT="2025-06-24T02:11:03.30" personId="{542F190F-6428-46C4-BE03-6F0706C45D1A}" id="{C5621E9E-A02E-4703-B97B-1A1C6FF7F1C1}">
    <text>가급적 Specific, Measurable, Achievable, Relevant, Time-bound 원칙으로 작성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530C-0B71-41E9-854F-14CA316CFA90}">
  <dimension ref="A3:B16"/>
  <sheetViews>
    <sheetView workbookViewId="0">
      <selection activeCell="A4" sqref="A4:A13"/>
    </sheetView>
  </sheetViews>
  <sheetFormatPr defaultRowHeight="16.5"/>
  <cols>
    <col min="1" max="1" width="18" bestFit="1" customWidth="1"/>
    <col min="2" max="2" width="15.25" bestFit="1" customWidth="1"/>
  </cols>
  <sheetData>
    <row r="3" spans="1:2">
      <c r="A3" s="68" t="s">
        <v>0</v>
      </c>
      <c r="B3" t="s">
        <v>1</v>
      </c>
    </row>
    <row r="4" spans="1:2">
      <c r="A4" s="69" t="s">
        <v>2</v>
      </c>
      <c r="B4">
        <v>29</v>
      </c>
    </row>
    <row r="5" spans="1:2">
      <c r="A5" s="69" t="s">
        <v>3</v>
      </c>
      <c r="B5">
        <v>21</v>
      </c>
    </row>
    <row r="6" spans="1:2">
      <c r="A6" s="69" t="s">
        <v>4</v>
      </c>
      <c r="B6">
        <v>12</v>
      </c>
    </row>
    <row r="7" spans="1:2">
      <c r="A7" s="69" t="s">
        <v>5</v>
      </c>
      <c r="B7">
        <v>11</v>
      </c>
    </row>
    <row r="8" spans="1:2">
      <c r="A8" s="69" t="s">
        <v>6</v>
      </c>
      <c r="B8">
        <v>10</v>
      </c>
    </row>
    <row r="9" spans="1:2">
      <c r="A9" s="69" t="s">
        <v>7</v>
      </c>
      <c r="B9">
        <v>7</v>
      </c>
    </row>
    <row r="10" spans="1:2">
      <c r="A10" s="69" t="s">
        <v>8</v>
      </c>
      <c r="B10">
        <v>3</v>
      </c>
    </row>
    <row r="11" spans="1:2">
      <c r="A11" s="69" t="s">
        <v>9</v>
      </c>
      <c r="B11">
        <v>3</v>
      </c>
    </row>
    <row r="12" spans="1:2">
      <c r="A12" s="69" t="s">
        <v>10</v>
      </c>
      <c r="B12">
        <v>3</v>
      </c>
    </row>
    <row r="13" spans="1:2">
      <c r="A13" s="69" t="s">
        <v>11</v>
      </c>
      <c r="B13">
        <v>1</v>
      </c>
    </row>
    <row r="14" spans="1:2">
      <c r="A14" s="69" t="s">
        <v>12</v>
      </c>
      <c r="B14">
        <v>1</v>
      </c>
    </row>
    <row r="15" spans="1:2">
      <c r="A15" s="69" t="s">
        <v>13</v>
      </c>
      <c r="B15">
        <v>1</v>
      </c>
    </row>
    <row r="16" spans="1:2">
      <c r="A16" s="69" t="s">
        <v>14</v>
      </c>
      <c r="B16">
        <v>102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F4C5-E3C3-4B72-BAC7-28EA32DC626D}">
  <sheetPr>
    <tabColor theme="5" tint="0.79998168889431442"/>
  </sheetPr>
  <dimension ref="B1:G39"/>
  <sheetViews>
    <sheetView showGridLines="0" zoomScaleNormal="100" workbookViewId="0">
      <selection activeCell="B5" sqref="B5"/>
    </sheetView>
  </sheetViews>
  <sheetFormatPr defaultRowHeight="31.5"/>
  <cols>
    <col min="1" max="1" width="9" style="293"/>
    <col min="2" max="4" width="20.625" style="292" customWidth="1"/>
    <col min="5" max="5" width="20.625" style="293" customWidth="1"/>
    <col min="6" max="6" width="46.25" style="293" customWidth="1"/>
    <col min="7" max="16384" width="9" style="293"/>
  </cols>
  <sheetData>
    <row r="1" spans="2:7" ht="33.75">
      <c r="B1" s="307" t="s">
        <v>15</v>
      </c>
    </row>
    <row r="2" spans="2:7" ht="32.1" customHeight="1" thickBot="1">
      <c r="B2" s="303"/>
    </row>
    <row r="3" spans="2:7" ht="32.25" thickBot="1">
      <c r="B3" s="308" t="s">
        <v>16</v>
      </c>
      <c r="C3" s="309" t="s">
        <v>17</v>
      </c>
      <c r="D3" s="309" t="s">
        <v>18</v>
      </c>
      <c r="E3" s="309" t="s">
        <v>19</v>
      </c>
      <c r="F3" s="310" t="s">
        <v>20</v>
      </c>
      <c r="G3"/>
    </row>
    <row r="4" spans="2:7" ht="32.25" thickTop="1">
      <c r="B4" s="311">
        <v>45833</v>
      </c>
      <c r="C4" s="305" t="s">
        <v>21</v>
      </c>
      <c r="D4" s="305" t="s">
        <v>22</v>
      </c>
      <c r="E4" s="305" t="s">
        <v>23</v>
      </c>
      <c r="F4" s="306" t="s">
        <v>24</v>
      </c>
      <c r="G4"/>
    </row>
    <row r="5" spans="2:7">
      <c r="B5" s="311">
        <v>46022</v>
      </c>
      <c r="C5" s="305" t="s">
        <v>7</v>
      </c>
      <c r="D5" s="305" t="s">
        <v>25</v>
      </c>
      <c r="E5" s="305" t="s">
        <v>26</v>
      </c>
      <c r="F5" s="306" t="s">
        <v>27</v>
      </c>
      <c r="G5"/>
    </row>
    <row r="6" spans="2:7">
      <c r="B6" s="304"/>
      <c r="C6" s="305"/>
      <c r="D6" s="305"/>
      <c r="E6" s="305"/>
      <c r="F6" s="306"/>
      <c r="G6"/>
    </row>
    <row r="7" spans="2:7">
      <c r="B7" s="304"/>
      <c r="C7" s="305"/>
      <c r="D7" s="305"/>
      <c r="E7" s="305"/>
      <c r="F7" s="306"/>
      <c r="G7"/>
    </row>
    <row r="8" spans="2:7">
      <c r="B8" s="304"/>
      <c r="C8" s="305"/>
      <c r="D8" s="305"/>
      <c r="E8" s="305"/>
      <c r="F8" s="306"/>
      <c r="G8"/>
    </row>
    <row r="9" spans="2:7">
      <c r="B9" s="304"/>
      <c r="C9" s="305"/>
      <c r="D9" s="305"/>
      <c r="E9" s="305"/>
      <c r="F9" s="306"/>
      <c r="G9"/>
    </row>
    <row r="10" spans="2:7">
      <c r="B10" s="304"/>
      <c r="C10" s="305"/>
      <c r="D10" s="305"/>
      <c r="E10" s="305"/>
      <c r="F10" s="306"/>
      <c r="G10"/>
    </row>
    <row r="11" spans="2:7">
      <c r="B11" s="304"/>
      <c r="C11" s="305"/>
      <c r="D11" s="305"/>
      <c r="E11" s="305"/>
      <c r="F11" s="306"/>
      <c r="G11"/>
    </row>
    <row r="12" spans="2:7">
      <c r="B12" s="304"/>
      <c r="C12" s="305"/>
      <c r="D12" s="305"/>
      <c r="E12" s="305"/>
      <c r="F12" s="306"/>
      <c r="G12"/>
    </row>
    <row r="13" spans="2:7">
      <c r="B13" s="304"/>
      <c r="C13" s="305"/>
      <c r="D13" s="305"/>
      <c r="E13" s="305"/>
      <c r="F13" s="306"/>
      <c r="G13"/>
    </row>
    <row r="14" spans="2:7">
      <c r="B14" s="304"/>
      <c r="C14" s="305"/>
      <c r="D14" s="305"/>
      <c r="E14" s="305"/>
      <c r="F14" s="306"/>
      <c r="G14"/>
    </row>
    <row r="15" spans="2:7">
      <c r="B15" s="304"/>
      <c r="C15" s="305"/>
      <c r="D15" s="305"/>
      <c r="E15" s="305"/>
      <c r="F15" s="306"/>
      <c r="G15"/>
    </row>
    <row r="16" spans="2:7">
      <c r="B16" s="304"/>
      <c r="C16" s="305"/>
      <c r="D16" s="305"/>
      <c r="E16" s="305"/>
      <c r="F16" s="306"/>
      <c r="G16"/>
    </row>
    <row r="17" spans="2:7">
      <c r="B17" s="304"/>
      <c r="C17" s="305"/>
      <c r="D17" s="305"/>
      <c r="E17" s="305"/>
      <c r="F17" s="306"/>
      <c r="G17"/>
    </row>
    <row r="18" spans="2:7">
      <c r="B18" s="304"/>
      <c r="C18" s="305"/>
      <c r="D18" s="305"/>
      <c r="E18" s="305"/>
      <c r="F18" s="306"/>
      <c r="G18"/>
    </row>
    <row r="19" spans="2:7">
      <c r="B19" s="304"/>
      <c r="C19" s="305"/>
      <c r="D19" s="305"/>
      <c r="E19" s="305"/>
      <c r="F19" s="306"/>
      <c r="G19"/>
    </row>
    <row r="20" spans="2:7">
      <c r="B20" s="304"/>
      <c r="C20" s="305"/>
      <c r="D20" s="305"/>
      <c r="E20" s="305"/>
      <c r="F20" s="306"/>
      <c r="G20"/>
    </row>
    <row r="21" spans="2:7">
      <c r="B21" s="304"/>
      <c r="C21" s="305"/>
      <c r="D21" s="305"/>
      <c r="E21" s="305"/>
      <c r="F21" s="306"/>
      <c r="G21"/>
    </row>
    <row r="22" spans="2:7">
      <c r="B22" s="304"/>
      <c r="C22" s="305"/>
      <c r="D22" s="305"/>
      <c r="E22" s="305"/>
      <c r="F22" s="306"/>
      <c r="G22"/>
    </row>
    <row r="23" spans="2:7">
      <c r="B23" s="304"/>
      <c r="C23" s="305"/>
      <c r="D23" s="305"/>
      <c r="E23" s="305"/>
      <c r="F23" s="306"/>
      <c r="G23"/>
    </row>
    <row r="24" spans="2:7">
      <c r="B24" s="304"/>
      <c r="C24" s="305"/>
      <c r="D24" s="305"/>
      <c r="E24" s="305"/>
      <c r="F24" s="306"/>
      <c r="G24"/>
    </row>
    <row r="25" spans="2:7">
      <c r="B25" s="304"/>
      <c r="C25" s="305"/>
      <c r="D25" s="305"/>
      <c r="E25" s="305"/>
      <c r="F25" s="306"/>
      <c r="G25"/>
    </row>
    <row r="26" spans="2:7">
      <c r="B26" s="304"/>
      <c r="C26" s="305"/>
      <c r="D26" s="305"/>
      <c r="E26" s="305"/>
      <c r="F26" s="306"/>
      <c r="G26"/>
    </row>
    <row r="27" spans="2:7">
      <c r="B27" s="304"/>
      <c r="C27" s="305"/>
      <c r="D27" s="305"/>
      <c r="E27" s="305"/>
      <c r="F27" s="306"/>
      <c r="G27"/>
    </row>
    <row r="28" spans="2:7">
      <c r="B28" s="304"/>
      <c r="C28" s="305"/>
      <c r="D28" s="305"/>
      <c r="E28" s="305"/>
      <c r="F28" s="306"/>
      <c r="G28"/>
    </row>
    <row r="29" spans="2:7">
      <c r="B29" s="304"/>
      <c r="C29" s="305"/>
      <c r="D29" s="305"/>
      <c r="E29" s="305"/>
      <c r="F29" s="306"/>
      <c r="G29"/>
    </row>
    <row r="30" spans="2:7">
      <c r="B30" s="304"/>
      <c r="C30" s="305"/>
      <c r="D30" s="305"/>
      <c r="E30" s="305"/>
      <c r="F30" s="306"/>
      <c r="G30"/>
    </row>
    <row r="31" spans="2:7">
      <c r="B31" s="304"/>
      <c r="C31" s="305"/>
      <c r="D31" s="305"/>
      <c r="E31" s="305"/>
      <c r="F31" s="306"/>
      <c r="G31"/>
    </row>
    <row r="32" spans="2:7">
      <c r="B32" s="304"/>
      <c r="C32" s="305"/>
      <c r="D32" s="305"/>
      <c r="E32" s="305"/>
      <c r="F32" s="306"/>
      <c r="G32"/>
    </row>
    <row r="33" spans="2:7">
      <c r="B33" s="298"/>
      <c r="C33" s="299"/>
      <c r="D33" s="299"/>
      <c r="E33" s="299"/>
      <c r="F33" s="300"/>
      <c r="G33"/>
    </row>
    <row r="34" spans="2:7">
      <c r="B34" s="298"/>
      <c r="C34" s="299"/>
      <c r="D34" s="299"/>
      <c r="E34" s="294"/>
      <c r="F34" s="295"/>
    </row>
    <row r="35" spans="2:7">
      <c r="B35" s="298"/>
      <c r="C35" s="299"/>
      <c r="D35" s="299"/>
      <c r="E35" s="294"/>
      <c r="F35" s="295"/>
    </row>
    <row r="36" spans="2:7" ht="32.25" thickBot="1">
      <c r="B36" s="301"/>
      <c r="C36" s="302"/>
      <c r="D36" s="302"/>
      <c r="E36" s="296"/>
      <c r="F36" s="297"/>
    </row>
    <row r="38" spans="2:7">
      <c r="B38" s="333" t="s">
        <v>28</v>
      </c>
      <c r="C38" s="333"/>
      <c r="D38" s="333"/>
      <c r="E38" s="333"/>
      <c r="F38" s="333"/>
    </row>
    <row r="39" spans="2:7">
      <c r="B39" s="333"/>
      <c r="C39" s="333"/>
      <c r="D39" s="333"/>
      <c r="E39" s="333"/>
      <c r="F39" s="333"/>
    </row>
  </sheetData>
  <mergeCells count="2">
    <mergeCell ref="B39:F39"/>
    <mergeCell ref="B38:F38"/>
  </mergeCells>
  <phoneticPr fontId="2" type="noConversion"/>
  <pageMargins left="0.7" right="0.7" top="0.75" bottom="0.75" header="0.3" footer="0.3"/>
  <pageSetup paperSize="9"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B868-CE29-4CFE-A68C-84DE0A0F6234}">
  <sheetPr>
    <tabColor theme="5" tint="0.79998168889431442"/>
  </sheetPr>
  <dimension ref="B1:I11"/>
  <sheetViews>
    <sheetView showGridLines="0" zoomScaleNormal="100" workbookViewId="0">
      <selection activeCell="G11" sqref="G11"/>
    </sheetView>
  </sheetViews>
  <sheetFormatPr defaultColWidth="9" defaultRowHeight="16.5"/>
  <cols>
    <col min="1" max="1" width="4.75" style="70" bestFit="1" customWidth="1"/>
    <col min="2" max="2" width="4.625" style="135" customWidth="1"/>
    <col min="3" max="3" width="16" style="70" bestFit="1" customWidth="1"/>
    <col min="4" max="4" width="31" style="72" customWidth="1"/>
    <col min="5" max="5" width="15.75" style="70" customWidth="1"/>
    <col min="6" max="6" width="18.75" style="70" customWidth="1"/>
    <col min="7" max="7" width="46.125" style="70" customWidth="1"/>
    <col min="8" max="8" width="17.875" style="70" bestFit="1" customWidth="1"/>
    <col min="9" max="9" width="30.75" style="70" bestFit="1" customWidth="1"/>
    <col min="10" max="10" width="9" style="70"/>
    <col min="11" max="11" width="59.5" style="70" customWidth="1"/>
    <col min="12" max="12" width="6.75" style="70" customWidth="1"/>
    <col min="13" max="13" width="32" style="70" customWidth="1"/>
    <col min="14" max="14" width="7.5" style="70" customWidth="1"/>
    <col min="15" max="16384" width="9" style="70"/>
  </cols>
  <sheetData>
    <row r="1" spans="2:9" ht="13.5" customHeight="1">
      <c r="C1" s="72"/>
      <c r="D1" s="206"/>
      <c r="E1" s="135"/>
      <c r="F1" s="135"/>
      <c r="G1" s="135"/>
    </row>
    <row r="2" spans="2:9">
      <c r="B2" s="334" t="s">
        <v>29</v>
      </c>
      <c r="C2" s="335"/>
      <c r="D2" s="335"/>
      <c r="E2" s="335"/>
      <c r="F2" s="335"/>
      <c r="G2" s="335"/>
      <c r="H2" s="335"/>
      <c r="I2" s="336"/>
    </row>
    <row r="3" spans="2:9" ht="4.5" customHeight="1"/>
    <row r="4" spans="2:9" s="107" customFormat="1" ht="27">
      <c r="B4" s="213" t="s">
        <v>30</v>
      </c>
      <c r="C4" s="214" t="s">
        <v>31</v>
      </c>
      <c r="D4" s="215" t="s">
        <v>32</v>
      </c>
      <c r="E4" s="216" t="s">
        <v>33</v>
      </c>
      <c r="F4" s="217" t="s">
        <v>34</v>
      </c>
      <c r="G4" s="217" t="s">
        <v>35</v>
      </c>
      <c r="H4" s="216" t="s">
        <v>36</v>
      </c>
      <c r="I4" s="218" t="s">
        <v>37</v>
      </c>
    </row>
    <row r="5" spans="2:9" ht="54">
      <c r="B5" s="207">
        <v>1</v>
      </c>
      <c r="C5" s="207" t="s">
        <v>38</v>
      </c>
      <c r="D5" s="208" t="s">
        <v>39</v>
      </c>
      <c r="E5" s="312" t="s">
        <v>40</v>
      </c>
      <c r="F5" s="207" t="s">
        <v>41</v>
      </c>
      <c r="G5" s="210" t="s">
        <v>42</v>
      </c>
      <c r="H5" s="207" t="s">
        <v>21</v>
      </c>
      <c r="I5" s="208" t="s">
        <v>43</v>
      </c>
    </row>
    <row r="6" spans="2:9" ht="40.5">
      <c r="B6" s="207">
        <v>2</v>
      </c>
      <c r="C6" s="337" t="s">
        <v>44</v>
      </c>
      <c r="D6" s="208" t="s">
        <v>45</v>
      </c>
      <c r="E6" s="313" t="s">
        <v>46</v>
      </c>
      <c r="F6" s="314" t="s">
        <v>47</v>
      </c>
      <c r="G6" s="210" t="s">
        <v>48</v>
      </c>
      <c r="H6" s="207" t="s">
        <v>21</v>
      </c>
      <c r="I6" s="208" t="s">
        <v>49</v>
      </c>
    </row>
    <row r="7" spans="2:9" ht="108" customHeight="1">
      <c r="B7" s="207">
        <v>3</v>
      </c>
      <c r="C7" s="337"/>
      <c r="D7" s="208" t="s">
        <v>50</v>
      </c>
      <c r="E7" s="312" t="s">
        <v>51</v>
      </c>
      <c r="F7" s="208" t="s">
        <v>52</v>
      </c>
      <c r="G7" s="210" t="s">
        <v>48</v>
      </c>
      <c r="H7" s="207" t="s">
        <v>21</v>
      </c>
      <c r="I7" s="208" t="s">
        <v>53</v>
      </c>
    </row>
    <row r="8" spans="2:9" ht="30" customHeight="1">
      <c r="B8" s="207">
        <v>4</v>
      </c>
      <c r="C8" s="314" t="s">
        <v>54</v>
      </c>
      <c r="D8" s="208" t="s">
        <v>55</v>
      </c>
      <c r="E8" s="313" t="s">
        <v>56</v>
      </c>
      <c r="F8" s="208" t="s">
        <v>57</v>
      </c>
      <c r="G8" s="210" t="s">
        <v>58</v>
      </c>
      <c r="H8" s="207" t="s">
        <v>21</v>
      </c>
      <c r="I8" s="208" t="s">
        <v>59</v>
      </c>
    </row>
    <row r="9" spans="2:9" ht="30" customHeight="1">
      <c r="B9" s="207">
        <v>5</v>
      </c>
      <c r="C9" s="227" t="s">
        <v>60</v>
      </c>
      <c r="D9" s="209" t="s">
        <v>61</v>
      </c>
      <c r="E9" s="203" t="s">
        <v>61</v>
      </c>
      <c r="F9" s="209" t="s">
        <v>62</v>
      </c>
      <c r="G9" s="212" t="s">
        <v>63</v>
      </c>
      <c r="H9" s="207" t="s">
        <v>21</v>
      </c>
      <c r="I9" s="208" t="s">
        <v>64</v>
      </c>
    </row>
    <row r="10" spans="2:9" ht="30" customHeight="1">
      <c r="B10" s="207"/>
      <c r="C10" s="227"/>
      <c r="D10" s="209"/>
      <c r="E10" s="203"/>
      <c r="F10" s="211"/>
      <c r="G10" s="212"/>
      <c r="H10" s="207"/>
      <c r="I10" s="208"/>
    </row>
    <row r="11" spans="2:9" ht="30" customHeight="1">
      <c r="B11" s="207"/>
      <c r="C11" s="227"/>
      <c r="D11" s="209"/>
      <c r="E11" s="203"/>
      <c r="F11" s="211"/>
      <c r="G11" s="212"/>
      <c r="H11" s="207"/>
      <c r="I11" s="208"/>
    </row>
  </sheetData>
  <mergeCells count="2">
    <mergeCell ref="B2:I2"/>
    <mergeCell ref="C6:C7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A644-CAD0-4566-964A-4AE123C32D83}">
  <sheetPr>
    <tabColor theme="5" tint="0.79998168889431442"/>
    <pageSetUpPr fitToPage="1"/>
  </sheetPr>
  <dimension ref="A1:P16"/>
  <sheetViews>
    <sheetView showGridLines="0" zoomScaleNormal="100" workbookViewId="0">
      <pane xSplit="1" ySplit="5" topLeftCell="I6" activePane="bottomRight" state="frozen"/>
      <selection pane="bottomRight" activeCell="Q12" sqref="Q12"/>
      <selection pane="bottomLeft" activeCell="G16" sqref="G16"/>
      <selection pane="topRight" activeCell="G16" sqref="G16"/>
    </sheetView>
  </sheetViews>
  <sheetFormatPr defaultColWidth="9" defaultRowHeight="13.5"/>
  <cols>
    <col min="1" max="1" width="3.75" style="189" customWidth="1"/>
    <col min="2" max="2" width="16.75" style="189" customWidth="1"/>
    <col min="3" max="3" width="35.625" style="189" customWidth="1"/>
    <col min="4" max="4" width="9.25" style="190" customWidth="1"/>
    <col min="5" max="5" width="9" style="191" customWidth="1"/>
    <col min="6" max="6" width="6.375" style="191" bestFit="1" customWidth="1"/>
    <col min="7" max="7" width="4.75" style="189" bestFit="1" customWidth="1"/>
    <col min="8" max="8" width="7.125" style="189" bestFit="1" customWidth="1"/>
    <col min="9" max="9" width="7" style="189" bestFit="1" customWidth="1"/>
    <col min="10" max="10" width="36.125" style="189" customWidth="1"/>
    <col min="11" max="11" width="28.25" style="190" customWidth="1"/>
    <col min="12" max="12" width="31.625" style="189" customWidth="1"/>
    <col min="13" max="13" width="30.75" style="189" customWidth="1"/>
    <col min="14" max="14" width="8" style="189" customWidth="1"/>
    <col min="15" max="15" width="3.75" style="189" customWidth="1"/>
    <col min="16" max="16384" width="9" style="189"/>
  </cols>
  <sheetData>
    <row r="1" spans="1:16" s="190" customFormat="1" ht="20.25" customHeight="1" thickBot="1">
      <c r="B1" s="192"/>
      <c r="C1" s="192"/>
      <c r="D1" s="192"/>
      <c r="E1" s="192"/>
      <c r="F1" s="192"/>
      <c r="G1" s="192"/>
      <c r="H1" s="193"/>
      <c r="I1" s="193"/>
      <c r="J1" s="192"/>
      <c r="K1" s="192"/>
      <c r="L1" s="192"/>
      <c r="M1" s="192"/>
      <c r="N1" s="192"/>
    </row>
    <row r="2" spans="1:16" s="194" customFormat="1" ht="15.95" customHeight="1">
      <c r="B2" s="338" t="s">
        <v>65</v>
      </c>
      <c r="C2" s="339"/>
      <c r="D2" s="339"/>
      <c r="E2" s="340"/>
      <c r="F2" s="341" t="s">
        <v>66</v>
      </c>
      <c r="G2" s="342"/>
      <c r="H2" s="342"/>
      <c r="I2" s="342"/>
      <c r="J2" s="339" t="s">
        <v>67</v>
      </c>
      <c r="K2" s="339"/>
      <c r="L2" s="338" t="s">
        <v>68</v>
      </c>
      <c r="M2" s="339"/>
      <c r="N2" s="339"/>
    </row>
    <row r="3" spans="1:16" s="194" customFormat="1" ht="16.5" customHeight="1">
      <c r="B3" s="349" t="s">
        <v>69</v>
      </c>
      <c r="C3" s="343" t="s">
        <v>70</v>
      </c>
      <c r="D3" s="343" t="s">
        <v>71</v>
      </c>
      <c r="E3" s="352"/>
      <c r="F3" s="355" t="s">
        <v>72</v>
      </c>
      <c r="G3" s="358" t="s">
        <v>73</v>
      </c>
      <c r="H3" s="361" t="s">
        <v>74</v>
      </c>
      <c r="I3" s="361" t="s">
        <v>75</v>
      </c>
      <c r="J3" s="364" t="s">
        <v>76</v>
      </c>
      <c r="K3" s="343" t="s">
        <v>77</v>
      </c>
      <c r="L3" s="367" t="s">
        <v>78</v>
      </c>
      <c r="M3" s="370" t="s">
        <v>79</v>
      </c>
      <c r="N3" s="346" t="s">
        <v>80</v>
      </c>
    </row>
    <row r="4" spans="1:16" s="194" customFormat="1" ht="16.5" customHeight="1">
      <c r="B4" s="350"/>
      <c r="C4" s="344"/>
      <c r="D4" s="353"/>
      <c r="E4" s="354"/>
      <c r="F4" s="356"/>
      <c r="G4" s="359"/>
      <c r="H4" s="362"/>
      <c r="I4" s="362"/>
      <c r="J4" s="365"/>
      <c r="K4" s="344"/>
      <c r="L4" s="368"/>
      <c r="M4" s="371"/>
      <c r="N4" s="347"/>
    </row>
    <row r="5" spans="1:16" s="194" customFormat="1" ht="14.25" customHeight="1" thickBot="1">
      <c r="B5" s="351"/>
      <c r="C5" s="345"/>
      <c r="D5" s="204" t="s">
        <v>36</v>
      </c>
      <c r="E5" s="205" t="s">
        <v>81</v>
      </c>
      <c r="F5" s="357"/>
      <c r="G5" s="360"/>
      <c r="H5" s="363"/>
      <c r="I5" s="363"/>
      <c r="J5" s="366"/>
      <c r="K5" s="345"/>
      <c r="L5" s="369"/>
      <c r="M5" s="372"/>
      <c r="N5" s="348"/>
    </row>
    <row r="6" spans="1:16" ht="63.75">
      <c r="A6" s="315" t="s">
        <v>82</v>
      </c>
      <c r="B6" s="315" t="s">
        <v>83</v>
      </c>
      <c r="C6" s="316" t="s">
        <v>84</v>
      </c>
      <c r="D6" s="315" t="s">
        <v>21</v>
      </c>
      <c r="E6" s="315" t="s">
        <v>22</v>
      </c>
      <c r="F6" s="315">
        <v>1</v>
      </c>
      <c r="G6" s="315">
        <v>4</v>
      </c>
      <c r="H6" s="315">
        <f t="shared" ref="H6:H16" si="0">F6*G6</f>
        <v>4</v>
      </c>
      <c r="I6" s="315" t="str">
        <f t="shared" ref="I6:I12" ca="1" si="1">IF(AND(OR($G6&gt;=5,$H6&gt;=5),$I6&lt;12),"MH",(IF(AND(H6&gt;=12,H6&lt;20),"H",(IF($I6&gt;=20,"VH",IF($I6&lt;4,"L",IF(H6&gt;=8,"MH","M")))))))</f>
        <v>M</v>
      </c>
      <c r="J6" s="317" t="s">
        <v>85</v>
      </c>
      <c r="K6" s="317" t="s">
        <v>86</v>
      </c>
      <c r="L6" s="318" t="s">
        <v>87</v>
      </c>
      <c r="M6" s="318" t="s">
        <v>88</v>
      </c>
      <c r="N6" s="319" t="s">
        <v>89</v>
      </c>
      <c r="O6" s="315">
        <v>1</v>
      </c>
      <c r="P6" s="189" t="s">
        <v>90</v>
      </c>
    </row>
    <row r="7" spans="1:16" ht="39.950000000000003" customHeight="1">
      <c r="A7" s="315" t="s">
        <v>82</v>
      </c>
      <c r="B7" s="315" t="s">
        <v>91</v>
      </c>
      <c r="C7" s="316" t="s">
        <v>92</v>
      </c>
      <c r="D7" s="315" t="s">
        <v>21</v>
      </c>
      <c r="E7" s="315" t="s">
        <v>22</v>
      </c>
      <c r="F7" s="315">
        <v>2</v>
      </c>
      <c r="G7" s="315">
        <v>4</v>
      </c>
      <c r="H7" s="315">
        <f t="shared" si="0"/>
        <v>8</v>
      </c>
      <c r="I7" s="315" t="str">
        <f t="shared" ca="1" si="1"/>
        <v>MH</v>
      </c>
      <c r="J7" s="317" t="s">
        <v>93</v>
      </c>
      <c r="K7" s="317" t="s">
        <v>94</v>
      </c>
      <c r="L7" s="318" t="s">
        <v>87</v>
      </c>
      <c r="M7" s="318" t="s">
        <v>95</v>
      </c>
      <c r="N7" s="319" t="s">
        <v>89</v>
      </c>
      <c r="O7" s="315">
        <v>2</v>
      </c>
      <c r="P7" s="189" t="s">
        <v>90</v>
      </c>
    </row>
    <row r="8" spans="1:16" ht="39.950000000000003" customHeight="1">
      <c r="A8" s="315" t="s">
        <v>82</v>
      </c>
      <c r="B8" s="315" t="s">
        <v>91</v>
      </c>
      <c r="C8" s="316" t="s">
        <v>96</v>
      </c>
      <c r="D8" s="315" t="s">
        <v>21</v>
      </c>
      <c r="E8" s="315" t="s">
        <v>22</v>
      </c>
      <c r="F8" s="315">
        <v>2</v>
      </c>
      <c r="G8" s="315">
        <v>4</v>
      </c>
      <c r="H8" s="315">
        <f t="shared" si="0"/>
        <v>8</v>
      </c>
      <c r="I8" s="315" t="str">
        <f t="shared" ca="1" si="1"/>
        <v>MH</v>
      </c>
      <c r="J8" s="317" t="s">
        <v>97</v>
      </c>
      <c r="K8" s="317" t="s">
        <v>98</v>
      </c>
      <c r="L8" s="318" t="s">
        <v>87</v>
      </c>
      <c r="M8" s="318" t="s">
        <v>99</v>
      </c>
      <c r="N8" s="319" t="s">
        <v>100</v>
      </c>
      <c r="O8" s="315">
        <v>3</v>
      </c>
      <c r="P8" s="189" t="s">
        <v>90</v>
      </c>
    </row>
    <row r="9" spans="1:16" ht="39.950000000000003" customHeight="1">
      <c r="A9" s="315" t="s">
        <v>82</v>
      </c>
      <c r="B9" s="315" t="s">
        <v>91</v>
      </c>
      <c r="C9" s="316" t="s">
        <v>101</v>
      </c>
      <c r="D9" s="315" t="s">
        <v>21</v>
      </c>
      <c r="E9" s="315" t="s">
        <v>22</v>
      </c>
      <c r="F9" s="315">
        <v>2</v>
      </c>
      <c r="G9" s="315">
        <v>4</v>
      </c>
      <c r="H9" s="315">
        <f t="shared" si="0"/>
        <v>8</v>
      </c>
      <c r="I9" s="315" t="str">
        <f t="shared" ca="1" si="1"/>
        <v>MH</v>
      </c>
      <c r="J9" s="317" t="s">
        <v>102</v>
      </c>
      <c r="K9" s="317" t="s">
        <v>103</v>
      </c>
      <c r="L9" s="318" t="s">
        <v>87</v>
      </c>
      <c r="M9" s="320" t="s">
        <v>104</v>
      </c>
      <c r="N9" s="319" t="s">
        <v>100</v>
      </c>
      <c r="O9" s="315">
        <v>4</v>
      </c>
      <c r="P9" s="189" t="s">
        <v>90</v>
      </c>
    </row>
    <row r="10" spans="1:16" ht="39.950000000000003" customHeight="1">
      <c r="A10" s="315" t="s">
        <v>82</v>
      </c>
      <c r="B10" s="315" t="s">
        <v>91</v>
      </c>
      <c r="C10" s="316" t="s">
        <v>105</v>
      </c>
      <c r="D10" s="315" t="s">
        <v>21</v>
      </c>
      <c r="E10" s="315" t="s">
        <v>22</v>
      </c>
      <c r="F10" s="315">
        <v>2</v>
      </c>
      <c r="G10" s="315">
        <v>4</v>
      </c>
      <c r="H10" s="315">
        <f t="shared" si="0"/>
        <v>8</v>
      </c>
      <c r="I10" s="315" t="str">
        <f t="shared" ca="1" si="1"/>
        <v>MH</v>
      </c>
      <c r="J10" s="317" t="s">
        <v>106</v>
      </c>
      <c r="K10" s="317" t="s">
        <v>107</v>
      </c>
      <c r="L10" s="318" t="s">
        <v>87</v>
      </c>
      <c r="M10" s="318" t="s">
        <v>108</v>
      </c>
      <c r="N10" s="319" t="s">
        <v>100</v>
      </c>
      <c r="O10" s="315">
        <v>5</v>
      </c>
      <c r="P10" s="189" t="s">
        <v>90</v>
      </c>
    </row>
    <row r="11" spans="1:16" ht="39.950000000000003" customHeight="1">
      <c r="A11" s="315" t="s">
        <v>82</v>
      </c>
      <c r="B11" s="315" t="s">
        <v>109</v>
      </c>
      <c r="C11" s="316" t="s">
        <v>110</v>
      </c>
      <c r="D11" s="315" t="s">
        <v>21</v>
      </c>
      <c r="E11" s="315" t="s">
        <v>22</v>
      </c>
      <c r="F11" s="315">
        <v>3</v>
      </c>
      <c r="G11" s="315">
        <v>3</v>
      </c>
      <c r="H11" s="315">
        <f t="shared" si="0"/>
        <v>9</v>
      </c>
      <c r="I11" s="315" t="str">
        <f t="shared" ca="1" si="1"/>
        <v>MH</v>
      </c>
      <c r="J11" s="317" t="s">
        <v>111</v>
      </c>
      <c r="K11" s="317" t="s">
        <v>112</v>
      </c>
      <c r="L11" s="318" t="s">
        <v>87</v>
      </c>
      <c r="M11" s="318" t="s">
        <v>113</v>
      </c>
      <c r="N11" s="319" t="s">
        <v>114</v>
      </c>
      <c r="O11" s="315">
        <v>6</v>
      </c>
      <c r="P11" s="189" t="s">
        <v>90</v>
      </c>
    </row>
    <row r="12" spans="1:16" ht="39.950000000000003" customHeight="1">
      <c r="A12" s="315" t="s">
        <v>82</v>
      </c>
      <c r="B12" s="315" t="s">
        <v>61</v>
      </c>
      <c r="C12" s="316" t="s">
        <v>115</v>
      </c>
      <c r="D12" s="315" t="s">
        <v>21</v>
      </c>
      <c r="E12" s="315" t="s">
        <v>22</v>
      </c>
      <c r="F12" s="315">
        <v>2</v>
      </c>
      <c r="G12" s="315">
        <v>4</v>
      </c>
      <c r="H12" s="315">
        <f t="shared" si="0"/>
        <v>8</v>
      </c>
      <c r="I12" s="315" t="str">
        <f t="shared" ca="1" si="1"/>
        <v>MH</v>
      </c>
      <c r="J12" s="317" t="s">
        <v>116</v>
      </c>
      <c r="K12" s="317" t="s">
        <v>117</v>
      </c>
      <c r="L12" s="318" t="s">
        <v>87</v>
      </c>
      <c r="M12" s="318" t="s">
        <v>118</v>
      </c>
      <c r="N12" s="319" t="s">
        <v>100</v>
      </c>
      <c r="O12" s="315">
        <v>7</v>
      </c>
      <c r="P12" s="189" t="s">
        <v>90</v>
      </c>
    </row>
    <row r="13" spans="1:16" ht="39.950000000000003" customHeight="1">
      <c r="A13" s="315" t="s">
        <v>82</v>
      </c>
      <c r="B13" s="315" t="s">
        <v>119</v>
      </c>
      <c r="C13" s="316" t="s">
        <v>120</v>
      </c>
      <c r="D13" s="315" t="s">
        <v>21</v>
      </c>
      <c r="E13" s="315" t="s">
        <v>22</v>
      </c>
      <c r="F13" s="315">
        <v>3</v>
      </c>
      <c r="G13" s="315">
        <v>4</v>
      </c>
      <c r="H13" s="315">
        <f t="shared" si="0"/>
        <v>12</v>
      </c>
      <c r="I13" s="315" t="str">
        <f ca="1">IF(AND(OR($G13&gt;=5,$H13&gt;=5),$I13&lt;12),"MH",(IF(AND(H13&gt;=12,H13&lt;20),"H",(IF($I13&gt;=20,"VH",IF($I13&lt;4,"L",IF(H13&gt;=8,"MH","M")))))))</f>
        <v>H</v>
      </c>
      <c r="J13" s="317" t="s">
        <v>121</v>
      </c>
      <c r="K13" s="317" t="s">
        <v>122</v>
      </c>
      <c r="L13" s="318" t="s">
        <v>87</v>
      </c>
      <c r="M13" s="318" t="s">
        <v>123</v>
      </c>
      <c r="N13" s="319" t="s">
        <v>114</v>
      </c>
      <c r="O13" s="315">
        <v>8</v>
      </c>
      <c r="P13" s="189" t="s">
        <v>90</v>
      </c>
    </row>
    <row r="14" spans="1:16" ht="39.950000000000003" customHeight="1">
      <c r="A14" s="315" t="s">
        <v>82</v>
      </c>
      <c r="B14" s="315" t="s">
        <v>124</v>
      </c>
      <c r="C14" s="321" t="s">
        <v>125</v>
      </c>
      <c r="D14" s="315" t="s">
        <v>21</v>
      </c>
      <c r="E14" s="315" t="s">
        <v>22</v>
      </c>
      <c r="F14" s="315">
        <v>3</v>
      </c>
      <c r="G14" s="315">
        <v>5</v>
      </c>
      <c r="H14" s="315">
        <f t="shared" si="0"/>
        <v>15</v>
      </c>
      <c r="I14" s="315" t="str">
        <f ca="1">IF(AND(OR($G14&gt;=5,$H14&gt;=5),$I14&lt;12),"MH",(IF(AND(H14&gt;=12,H14&lt;20),"H",(IF($I14&gt;=20,"VH",IF($I14&lt;4,"L",IF(H14&gt;=8,"MH","M")))))))</f>
        <v>H</v>
      </c>
      <c r="J14" s="316" t="s">
        <v>126</v>
      </c>
      <c r="K14" s="316" t="s">
        <v>127</v>
      </c>
      <c r="L14" s="318" t="s">
        <v>87</v>
      </c>
      <c r="M14" s="322" t="s">
        <v>128</v>
      </c>
      <c r="N14" s="319" t="s">
        <v>100</v>
      </c>
      <c r="O14" s="315">
        <v>9</v>
      </c>
      <c r="P14" s="189" t="s">
        <v>90</v>
      </c>
    </row>
    <row r="15" spans="1:16" ht="53.25" customHeight="1">
      <c r="A15" s="315" t="s">
        <v>82</v>
      </c>
      <c r="B15" s="315" t="s">
        <v>129</v>
      </c>
      <c r="C15" s="316" t="s">
        <v>130</v>
      </c>
      <c r="D15" s="315" t="s">
        <v>21</v>
      </c>
      <c r="E15" s="315" t="s">
        <v>22</v>
      </c>
      <c r="F15" s="315">
        <v>3</v>
      </c>
      <c r="G15" s="315">
        <v>3</v>
      </c>
      <c r="H15" s="315">
        <f t="shared" si="0"/>
        <v>9</v>
      </c>
      <c r="I15" s="315" t="str">
        <f ca="1">IF(AND(OR($G15&gt;=5,$H15&gt;=5),$I15&lt;12),"MH",(IF(AND(H15&gt;=12,H15&lt;20),"H",(IF($I15&gt;=20,"VH",IF($I15&lt;4,"L",IF(H15&gt;=8,"MH","M")))))))</f>
        <v>MH</v>
      </c>
      <c r="J15" s="316" t="s">
        <v>131</v>
      </c>
      <c r="K15" s="316" t="s">
        <v>132</v>
      </c>
      <c r="L15" s="317" t="s">
        <v>87</v>
      </c>
      <c r="M15" s="316" t="s">
        <v>133</v>
      </c>
      <c r="N15" s="323" t="s">
        <v>100</v>
      </c>
      <c r="O15" s="315">
        <v>10</v>
      </c>
      <c r="P15" s="189" t="s">
        <v>90</v>
      </c>
    </row>
    <row r="16" spans="1:16" customFormat="1" ht="52.5" customHeight="1">
      <c r="A16" s="315" t="s">
        <v>82</v>
      </c>
      <c r="B16" s="315" t="s">
        <v>134</v>
      </c>
      <c r="C16" s="332" t="s">
        <v>135</v>
      </c>
      <c r="D16" s="315" t="s">
        <v>21</v>
      </c>
      <c r="E16" s="315" t="s">
        <v>22</v>
      </c>
      <c r="F16" s="315">
        <v>3</v>
      </c>
      <c r="G16" s="315">
        <v>4</v>
      </c>
      <c r="H16" s="315">
        <f t="shared" si="0"/>
        <v>12</v>
      </c>
      <c r="I16" s="315" t="str">
        <f ca="1">IF(AND(OR($G16&gt;=5,$H16&gt;=5),$I16&lt;12),"MH",(IF(AND(H16&gt;=12,H16&lt;20),"H",(IF($I16&gt;=20,"VH",IF($I16&lt;4,"L",IF(H16&gt;=8,"MH","M")))))))</f>
        <v>H</v>
      </c>
      <c r="J16" s="316" t="s">
        <v>136</v>
      </c>
      <c r="K16" s="316" t="s">
        <v>137</v>
      </c>
      <c r="L16" s="317" t="s">
        <v>87</v>
      </c>
      <c r="M16" s="322" t="s">
        <v>138</v>
      </c>
      <c r="N16" s="323" t="s">
        <v>100</v>
      </c>
      <c r="O16" s="315">
        <v>11</v>
      </c>
      <c r="P16" t="s">
        <v>90</v>
      </c>
    </row>
  </sheetData>
  <autoFilter ref="A5:Q16" xr:uid="{83D0A644-CAD0-4566-964A-4AE123C32D83}"/>
  <mergeCells count="16">
    <mergeCell ref="B2:E2"/>
    <mergeCell ref="F2:I2"/>
    <mergeCell ref="C3:C5"/>
    <mergeCell ref="N3:N5"/>
    <mergeCell ref="L2:N2"/>
    <mergeCell ref="B3:B5"/>
    <mergeCell ref="D3:E4"/>
    <mergeCell ref="F3:F5"/>
    <mergeCell ref="G3:G5"/>
    <mergeCell ref="H3:H5"/>
    <mergeCell ref="I3:I5"/>
    <mergeCell ref="J3:J5"/>
    <mergeCell ref="K3:K5"/>
    <mergeCell ref="J2:K2"/>
    <mergeCell ref="L3:L5"/>
    <mergeCell ref="M3:M5"/>
  </mergeCells>
  <phoneticPr fontId="2" type="noConversion"/>
  <conditionalFormatting sqref="I6:I10 I12:I16">
    <cfRule type="expression" dxfId="12" priority="1">
      <formula>$J6="L"</formula>
    </cfRule>
    <cfRule type="expression" dxfId="11" priority="2">
      <formula>$J6="M"</formula>
    </cfRule>
    <cfRule type="expression" dxfId="10" priority="3">
      <formula>$J6="H"</formula>
    </cfRule>
  </conditionalFormatting>
  <pageMargins left="0.7" right="0.7" top="0.75" bottom="0.75" header="0.3" footer="0.3"/>
  <pageSetup paperSize="8" scale="4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DE01-1A6E-4A8F-8B02-51DB14D328E4}">
  <dimension ref="A2:V27"/>
  <sheetViews>
    <sheetView topLeftCell="L1" workbookViewId="0">
      <selection activeCell="N4" sqref="N4"/>
    </sheetView>
  </sheetViews>
  <sheetFormatPr defaultRowHeight="16.5"/>
  <cols>
    <col min="1" max="1" width="10.625" hidden="1" customWidth="1"/>
    <col min="2" max="2" width="18" hidden="1" customWidth="1"/>
    <col min="3" max="3" width="17.25" hidden="1" customWidth="1"/>
    <col min="4" max="8" width="9" hidden="1" customWidth="1"/>
    <col min="9" max="9" width="5.5" hidden="1" customWidth="1"/>
    <col min="10" max="11" width="9" hidden="1" customWidth="1"/>
    <col min="13" max="13" width="10.625" bestFit="1" customWidth="1"/>
    <col min="14" max="14" width="17.25" bestFit="1" customWidth="1"/>
    <col min="22" max="22" width="56.125" customWidth="1"/>
  </cols>
  <sheetData>
    <row r="2" spans="1:22" ht="17.25" thickBot="1"/>
    <row r="3" spans="1:22">
      <c r="A3" s="50" t="s">
        <v>139</v>
      </c>
      <c r="B3" s="50" t="s">
        <v>140</v>
      </c>
      <c r="C3" s="50" t="s">
        <v>141</v>
      </c>
      <c r="D3" s="50" t="s">
        <v>142</v>
      </c>
      <c r="E3" s="50" t="s">
        <v>143</v>
      </c>
      <c r="F3" s="50" t="s">
        <v>144</v>
      </c>
      <c r="G3" s="50" t="s">
        <v>145</v>
      </c>
      <c r="H3" s="50" t="s">
        <v>146</v>
      </c>
      <c r="I3" s="50" t="s">
        <v>147</v>
      </c>
      <c r="M3" s="51" t="s">
        <v>139</v>
      </c>
      <c r="N3" s="52" t="s">
        <v>141</v>
      </c>
      <c r="O3" s="52" t="s">
        <v>142</v>
      </c>
      <c r="P3" s="52" t="s">
        <v>143</v>
      </c>
      <c r="Q3" s="52" t="s">
        <v>144</v>
      </c>
      <c r="R3" s="52" t="s">
        <v>145</v>
      </c>
      <c r="S3" s="52" t="s">
        <v>146</v>
      </c>
      <c r="T3" s="53" t="s">
        <v>147</v>
      </c>
      <c r="V3" s="65" t="s">
        <v>148</v>
      </c>
    </row>
    <row r="4" spans="1:22">
      <c r="A4" s="46" t="s">
        <v>149</v>
      </c>
      <c r="B4" s="66" t="s">
        <v>150</v>
      </c>
      <c r="C4" s="46" t="s">
        <v>151</v>
      </c>
      <c r="D4" s="46"/>
      <c r="E4" s="46">
        <v>2</v>
      </c>
      <c r="F4" s="46"/>
      <c r="G4" s="46"/>
      <c r="H4" s="46">
        <v>27</v>
      </c>
      <c r="I4" s="373">
        <v>29</v>
      </c>
      <c r="M4" s="56" t="s">
        <v>149</v>
      </c>
      <c r="N4" s="46" t="s">
        <v>151</v>
      </c>
      <c r="O4" s="46"/>
      <c r="P4" s="46">
        <v>3</v>
      </c>
      <c r="Q4" s="46"/>
      <c r="R4" s="46"/>
      <c r="S4" s="46">
        <v>66</v>
      </c>
      <c r="T4" s="54">
        <f t="shared" ref="T4:T13" si="0">SUM(O4:S4)</f>
        <v>69</v>
      </c>
      <c r="V4" t="s">
        <v>152</v>
      </c>
    </row>
    <row r="5" spans="1:22">
      <c r="A5" s="46"/>
      <c r="B5" s="46"/>
      <c r="C5" s="46" t="s">
        <v>82</v>
      </c>
      <c r="D5" s="46"/>
      <c r="E5" s="46"/>
      <c r="F5" s="46"/>
      <c r="G5" s="46"/>
      <c r="H5" s="46"/>
      <c r="I5" s="374"/>
      <c r="M5" s="56"/>
      <c r="N5" s="46" t="s">
        <v>82</v>
      </c>
      <c r="O5" s="46"/>
      <c r="P5" s="46"/>
      <c r="Q5" s="46">
        <v>2</v>
      </c>
      <c r="R5" s="46">
        <v>1</v>
      </c>
      <c r="S5" s="46"/>
      <c r="T5" s="54">
        <f t="shared" si="0"/>
        <v>3</v>
      </c>
    </row>
    <row r="6" spans="1:22">
      <c r="A6" s="46"/>
      <c r="B6" s="66" t="s">
        <v>153</v>
      </c>
      <c r="C6" s="46" t="s">
        <v>151</v>
      </c>
      <c r="D6" s="46"/>
      <c r="E6" s="46"/>
      <c r="F6" s="46"/>
      <c r="G6" s="46"/>
      <c r="H6" s="46">
        <v>20</v>
      </c>
      <c r="I6" s="373">
        <v>21</v>
      </c>
      <c r="M6" s="56" t="s">
        <v>154</v>
      </c>
      <c r="N6" s="46" t="s">
        <v>151</v>
      </c>
      <c r="O6" s="46"/>
      <c r="P6" s="46"/>
      <c r="Q6" s="46"/>
      <c r="R6" s="46"/>
      <c r="S6" s="46">
        <v>6</v>
      </c>
      <c r="T6" s="54">
        <f t="shared" si="0"/>
        <v>6</v>
      </c>
      <c r="V6" t="s">
        <v>155</v>
      </c>
    </row>
    <row r="7" spans="1:22">
      <c r="A7" s="46"/>
      <c r="B7" s="46"/>
      <c r="C7" s="46" t="s">
        <v>82</v>
      </c>
      <c r="D7" s="46"/>
      <c r="E7" s="46"/>
      <c r="F7" s="46">
        <v>1</v>
      </c>
      <c r="G7" s="46"/>
      <c r="H7" s="46"/>
      <c r="I7" s="374"/>
      <c r="M7" s="56"/>
      <c r="N7" s="46" t="s">
        <v>82</v>
      </c>
      <c r="O7" s="46"/>
      <c r="P7" s="46"/>
      <c r="Q7" s="46">
        <v>2</v>
      </c>
      <c r="R7" s="46">
        <v>7</v>
      </c>
      <c r="S7" s="46"/>
      <c r="T7" s="54">
        <f t="shared" si="0"/>
        <v>9</v>
      </c>
    </row>
    <row r="8" spans="1:22">
      <c r="A8" s="46"/>
      <c r="B8" s="66" t="s">
        <v>156</v>
      </c>
      <c r="C8" s="46" t="s">
        <v>151</v>
      </c>
      <c r="D8" s="46"/>
      <c r="E8" s="46"/>
      <c r="F8" s="46"/>
      <c r="G8" s="46"/>
      <c r="H8" s="46">
        <v>10</v>
      </c>
      <c r="I8" s="373">
        <v>12</v>
      </c>
      <c r="M8" s="56" t="s">
        <v>157</v>
      </c>
      <c r="N8" s="46" t="s">
        <v>151</v>
      </c>
      <c r="O8" s="46"/>
      <c r="P8" s="46"/>
      <c r="Q8" s="46"/>
      <c r="R8" s="46"/>
      <c r="S8" s="46">
        <v>4</v>
      </c>
      <c r="T8" s="54">
        <f t="shared" si="0"/>
        <v>4</v>
      </c>
      <c r="V8" t="s">
        <v>158</v>
      </c>
    </row>
    <row r="9" spans="1:22">
      <c r="A9" s="46"/>
      <c r="B9" s="46"/>
      <c r="C9" s="46" t="s">
        <v>82</v>
      </c>
      <c r="D9" s="46"/>
      <c r="E9" s="46"/>
      <c r="F9" s="46">
        <v>1</v>
      </c>
      <c r="G9" s="46">
        <v>1</v>
      </c>
      <c r="H9" s="46"/>
      <c r="I9" s="374"/>
      <c r="M9" s="56"/>
      <c r="N9" s="46" t="s">
        <v>82</v>
      </c>
      <c r="O9" s="46"/>
      <c r="P9" s="46"/>
      <c r="Q9" s="46">
        <v>5</v>
      </c>
      <c r="R9" s="46">
        <v>4</v>
      </c>
      <c r="S9" s="46"/>
      <c r="T9" s="54">
        <f t="shared" si="0"/>
        <v>9</v>
      </c>
    </row>
    <row r="10" spans="1:22">
      <c r="A10" s="46"/>
      <c r="B10" s="66" t="s">
        <v>159</v>
      </c>
      <c r="C10" s="46" t="s">
        <v>151</v>
      </c>
      <c r="D10" s="46"/>
      <c r="E10" s="46">
        <v>1</v>
      </c>
      <c r="F10" s="46"/>
      <c r="G10" s="46"/>
      <c r="H10" s="46">
        <v>9</v>
      </c>
      <c r="I10" s="373">
        <v>10</v>
      </c>
      <c r="M10" s="56" t="s">
        <v>160</v>
      </c>
      <c r="N10" s="46" t="s">
        <v>151</v>
      </c>
      <c r="O10" s="46"/>
      <c r="P10" s="46"/>
      <c r="Q10" s="46"/>
      <c r="R10" s="46"/>
      <c r="S10" s="46"/>
      <c r="T10" s="54">
        <f t="shared" si="0"/>
        <v>0</v>
      </c>
      <c r="V10" t="s">
        <v>161</v>
      </c>
    </row>
    <row r="11" spans="1:22" ht="17.25" thickBot="1">
      <c r="A11" s="48"/>
      <c r="B11" s="48"/>
      <c r="C11" s="48" t="s">
        <v>82</v>
      </c>
      <c r="D11" s="48"/>
      <c r="E11" s="48"/>
      <c r="F11" s="48"/>
      <c r="G11" s="48"/>
      <c r="H11" s="48"/>
      <c r="I11" s="375"/>
      <c r="M11" s="56"/>
      <c r="N11" s="46" t="s">
        <v>82</v>
      </c>
      <c r="O11" s="46"/>
      <c r="P11" s="46"/>
      <c r="Q11" s="46"/>
      <c r="R11" s="46">
        <v>1</v>
      </c>
      <c r="S11" s="46"/>
      <c r="T11" s="54">
        <f t="shared" si="0"/>
        <v>1</v>
      </c>
    </row>
    <row r="12" spans="1:22">
      <c r="A12" s="49" t="s">
        <v>154</v>
      </c>
      <c r="B12" s="67" t="s">
        <v>162</v>
      </c>
      <c r="C12" s="49" t="s">
        <v>151</v>
      </c>
      <c r="D12" s="49"/>
      <c r="E12" s="49"/>
      <c r="F12" s="49"/>
      <c r="G12" s="49"/>
      <c r="H12" s="62">
        <v>6</v>
      </c>
      <c r="I12" s="376">
        <v>11</v>
      </c>
      <c r="M12" s="56" t="s">
        <v>163</v>
      </c>
      <c r="N12" s="46" t="s">
        <v>151</v>
      </c>
      <c r="O12" s="46"/>
      <c r="P12" s="46"/>
      <c r="Q12" s="46"/>
      <c r="R12" s="46"/>
      <c r="S12" s="46"/>
      <c r="T12" s="54">
        <f t="shared" si="0"/>
        <v>0</v>
      </c>
    </row>
    <row r="13" spans="1:22" ht="17.25" thickBot="1">
      <c r="A13" s="46"/>
      <c r="B13" s="46"/>
      <c r="C13" s="46" t="s">
        <v>82</v>
      </c>
      <c r="D13" s="46"/>
      <c r="E13" s="46"/>
      <c r="F13" s="46">
        <v>1</v>
      </c>
      <c r="G13" s="46">
        <v>4</v>
      </c>
      <c r="H13" s="63"/>
      <c r="I13" s="374"/>
      <c r="M13" s="57"/>
      <c r="N13" s="48" t="s">
        <v>82</v>
      </c>
      <c r="O13" s="48"/>
      <c r="P13" s="48"/>
      <c r="Q13" s="48"/>
      <c r="R13" s="48">
        <v>1</v>
      </c>
      <c r="S13" s="48"/>
      <c r="T13" s="55">
        <f t="shared" si="0"/>
        <v>1</v>
      </c>
    </row>
    <row r="14" spans="1:22">
      <c r="A14" s="46"/>
      <c r="B14" s="46" t="s">
        <v>164</v>
      </c>
      <c r="C14" s="46" t="s">
        <v>151</v>
      </c>
      <c r="D14" s="46"/>
      <c r="E14" s="46"/>
      <c r="F14" s="46"/>
      <c r="G14" s="46"/>
      <c r="H14" s="46"/>
      <c r="I14" s="373">
        <v>1</v>
      </c>
      <c r="N14" t="s">
        <v>165</v>
      </c>
      <c r="O14">
        <f t="shared" ref="O14:T14" si="1">+SUM(O12,O10,O8,O6,O4)</f>
        <v>0</v>
      </c>
      <c r="P14">
        <f t="shared" si="1"/>
        <v>3</v>
      </c>
      <c r="Q14">
        <f t="shared" si="1"/>
        <v>0</v>
      </c>
      <c r="R14">
        <f t="shared" si="1"/>
        <v>0</v>
      </c>
      <c r="S14">
        <f t="shared" si="1"/>
        <v>76</v>
      </c>
      <c r="T14">
        <f t="shared" si="1"/>
        <v>79</v>
      </c>
      <c r="V14">
        <v>8</v>
      </c>
    </row>
    <row r="15" spans="1:22">
      <c r="A15" s="46"/>
      <c r="B15" s="46"/>
      <c r="C15" s="46" t="s">
        <v>82</v>
      </c>
      <c r="D15" s="46"/>
      <c r="E15" s="46"/>
      <c r="F15" s="46"/>
      <c r="G15" s="46">
        <v>1</v>
      </c>
      <c r="H15" s="46"/>
      <c r="I15" s="374"/>
      <c r="N15" t="s">
        <v>166</v>
      </c>
      <c r="O15">
        <f t="shared" ref="O15:T15" si="2">+SUM(O13,O11,O9,O7,O5)</f>
        <v>0</v>
      </c>
      <c r="P15">
        <f t="shared" si="2"/>
        <v>0</v>
      </c>
      <c r="Q15">
        <f t="shared" si="2"/>
        <v>9</v>
      </c>
      <c r="R15">
        <f t="shared" si="2"/>
        <v>14</v>
      </c>
      <c r="S15">
        <f t="shared" si="2"/>
        <v>0</v>
      </c>
      <c r="T15">
        <f t="shared" si="2"/>
        <v>23</v>
      </c>
    </row>
    <row r="16" spans="1:22">
      <c r="A16" s="46"/>
      <c r="B16" s="66" t="s">
        <v>167</v>
      </c>
      <c r="C16" s="46" t="s">
        <v>151</v>
      </c>
      <c r="D16" s="46"/>
      <c r="E16" s="46"/>
      <c r="F16" s="46"/>
      <c r="G16" s="46"/>
      <c r="H16" s="63"/>
      <c r="I16" s="373">
        <v>3</v>
      </c>
      <c r="N16" t="s">
        <v>168</v>
      </c>
    </row>
    <row r="17" spans="1:16" ht="17.25" thickBot="1">
      <c r="A17" s="48"/>
      <c r="B17" s="48"/>
      <c r="C17" s="48" t="s">
        <v>82</v>
      </c>
      <c r="D17" s="48"/>
      <c r="E17" s="48"/>
      <c r="F17" s="48">
        <v>1</v>
      </c>
      <c r="G17" s="48">
        <v>2</v>
      </c>
      <c r="H17" s="64"/>
      <c r="I17" s="377"/>
      <c r="N17" s="58" t="s">
        <v>151</v>
      </c>
      <c r="O17" s="58">
        <v>79</v>
      </c>
      <c r="P17" s="60">
        <f>O17/O19</f>
        <v>0.77450980392156865</v>
      </c>
    </row>
    <row r="18" spans="1:16">
      <c r="A18" s="49" t="s">
        <v>157</v>
      </c>
      <c r="B18" s="49" t="s">
        <v>169</v>
      </c>
      <c r="C18" s="49" t="s">
        <v>151</v>
      </c>
      <c r="D18" s="49"/>
      <c r="E18" s="49"/>
      <c r="F18" s="49"/>
      <c r="G18" s="49"/>
      <c r="H18" s="49">
        <v>3</v>
      </c>
      <c r="I18" s="376">
        <v>3</v>
      </c>
      <c r="N18" s="58" t="s">
        <v>82</v>
      </c>
      <c r="O18" s="58">
        <v>23</v>
      </c>
      <c r="P18" s="60">
        <f>O18/O19</f>
        <v>0.22549019607843138</v>
      </c>
    </row>
    <row r="19" spans="1:16">
      <c r="A19" s="46"/>
      <c r="B19" s="46"/>
      <c r="C19" s="46" t="s">
        <v>82</v>
      </c>
      <c r="D19" s="46"/>
      <c r="E19" s="46"/>
      <c r="F19" s="46"/>
      <c r="G19" s="46"/>
      <c r="H19" s="46"/>
      <c r="I19" s="374"/>
      <c r="N19" s="59"/>
      <c r="O19" s="59">
        <f>SUM(O17:O18)</f>
        <v>102</v>
      </c>
      <c r="P19" s="60">
        <f>SUM(P17:P18)</f>
        <v>1</v>
      </c>
    </row>
    <row r="20" spans="1:16">
      <c r="A20" s="46"/>
      <c r="B20" s="66" t="s">
        <v>170</v>
      </c>
      <c r="C20" s="46" t="s">
        <v>151</v>
      </c>
      <c r="D20" s="46"/>
      <c r="E20" s="46"/>
      <c r="F20" s="46"/>
      <c r="G20" s="46"/>
      <c r="H20" s="46"/>
      <c r="I20" s="373">
        <v>3</v>
      </c>
    </row>
    <row r="21" spans="1:16">
      <c r="A21" s="46"/>
      <c r="B21" s="46"/>
      <c r="C21" s="46" t="s">
        <v>82</v>
      </c>
      <c r="D21" s="46"/>
      <c r="E21" s="46"/>
      <c r="F21" s="46"/>
      <c r="G21" s="46">
        <v>3</v>
      </c>
      <c r="H21" s="46"/>
      <c r="I21" s="374"/>
      <c r="N21" s="61" t="s">
        <v>171</v>
      </c>
      <c r="O21">
        <v>6</v>
      </c>
    </row>
    <row r="22" spans="1:16">
      <c r="A22" s="46"/>
      <c r="B22" s="66" t="s">
        <v>21</v>
      </c>
      <c r="C22" s="46" t="s">
        <v>151</v>
      </c>
      <c r="D22" s="46"/>
      <c r="E22" s="46"/>
      <c r="F22" s="46"/>
      <c r="G22" s="46"/>
      <c r="H22" s="63">
        <v>1</v>
      </c>
      <c r="I22" s="373">
        <v>7</v>
      </c>
    </row>
    <row r="23" spans="1:16" ht="17.25" thickBot="1">
      <c r="A23" s="48"/>
      <c r="B23" s="48"/>
      <c r="C23" s="48" t="s">
        <v>82</v>
      </c>
      <c r="D23" s="48"/>
      <c r="E23" s="48"/>
      <c r="F23" s="48">
        <v>5</v>
      </c>
      <c r="G23" s="48">
        <v>1</v>
      </c>
      <c r="H23" s="64"/>
      <c r="I23" s="377"/>
    </row>
    <row r="24" spans="1:16">
      <c r="A24" s="47" t="s">
        <v>160</v>
      </c>
      <c r="B24" s="47" t="s">
        <v>172</v>
      </c>
      <c r="C24" s="47" t="s">
        <v>151</v>
      </c>
      <c r="D24" s="47"/>
      <c r="E24" s="47"/>
      <c r="F24" s="47"/>
      <c r="G24" s="47"/>
      <c r="H24" s="47"/>
      <c r="I24" s="376">
        <v>1</v>
      </c>
    </row>
    <row r="25" spans="1:16">
      <c r="A25" s="46"/>
      <c r="B25" s="46"/>
      <c r="C25" s="46" t="s">
        <v>82</v>
      </c>
      <c r="D25" s="46"/>
      <c r="E25" s="46"/>
      <c r="F25" s="46"/>
      <c r="G25" s="46">
        <v>1</v>
      </c>
      <c r="H25" s="46"/>
      <c r="I25" s="374"/>
    </row>
    <row r="26" spans="1:16">
      <c r="A26" s="46" t="s">
        <v>163</v>
      </c>
      <c r="B26" s="46"/>
      <c r="C26" s="46" t="s">
        <v>151</v>
      </c>
      <c r="D26" s="46"/>
      <c r="E26" s="46"/>
      <c r="F26" s="46"/>
      <c r="G26" s="46"/>
      <c r="H26" s="46"/>
      <c r="I26" s="373">
        <v>1</v>
      </c>
    </row>
    <row r="27" spans="1:16">
      <c r="A27" s="46"/>
      <c r="B27" s="46"/>
      <c r="C27" s="46" t="s">
        <v>82</v>
      </c>
      <c r="D27" s="46"/>
      <c r="E27" s="46"/>
      <c r="F27" s="46"/>
      <c r="G27" s="46">
        <v>1</v>
      </c>
      <c r="H27" s="46"/>
      <c r="I27" s="374"/>
    </row>
  </sheetData>
  <mergeCells count="12">
    <mergeCell ref="I26:I27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0E10-026A-4B4F-BE5E-B4B433A3E1A0}">
  <dimension ref="A1:M101"/>
  <sheetViews>
    <sheetView workbookViewId="0">
      <selection activeCell="D22" sqref="D22"/>
    </sheetView>
  </sheetViews>
  <sheetFormatPr defaultRowHeight="16.5"/>
  <cols>
    <col min="1" max="1" width="9" style="1"/>
    <col min="2" max="2" width="15" style="1" customWidth="1"/>
    <col min="3" max="3" width="23.875" style="1" customWidth="1"/>
    <col min="4" max="4" width="26.25" style="1" customWidth="1"/>
    <col min="5" max="5" width="11.25" style="1" customWidth="1"/>
    <col min="6" max="6" width="42.125" style="1" customWidth="1"/>
    <col min="7" max="7" width="49.25" style="1" customWidth="1"/>
    <col min="8" max="8" width="27.625" style="1" customWidth="1"/>
    <col min="9" max="9" width="30.125" style="1" customWidth="1"/>
    <col min="10" max="10" width="23.75" style="1" customWidth="1"/>
    <col min="11" max="11" width="20.125" style="1" customWidth="1"/>
    <col min="12" max="12" width="30.5" style="1" customWidth="1"/>
    <col min="13" max="13" width="26.75" style="1" customWidth="1"/>
    <col min="14" max="14" width="13.125" style="1" customWidth="1"/>
    <col min="15" max="15" width="9" style="1"/>
    <col min="16" max="16" width="59.5" style="1" customWidth="1"/>
    <col min="17" max="17" width="6.75" style="1" customWidth="1"/>
    <col min="18" max="18" width="32" style="1" customWidth="1"/>
    <col min="19" max="19" width="7.5" style="1" customWidth="1"/>
    <col min="20" max="16384" width="9" style="1"/>
  </cols>
  <sheetData>
    <row r="1" spans="1:13" ht="17.25" thickBot="1"/>
    <row r="2" spans="1:13">
      <c r="A2" s="378" t="s">
        <v>173</v>
      </c>
      <c r="B2" s="381" t="s">
        <v>65</v>
      </c>
      <c r="C2" s="503"/>
      <c r="D2" s="503"/>
      <c r="E2" s="503"/>
      <c r="F2" s="503"/>
      <c r="G2" s="503"/>
      <c r="H2" s="503"/>
      <c r="I2" s="503"/>
      <c r="J2" s="503"/>
      <c r="K2" s="503"/>
      <c r="L2" s="504"/>
      <c r="M2" s="382"/>
    </row>
    <row r="3" spans="1:13">
      <c r="A3" s="379"/>
      <c r="B3" s="505"/>
      <c r="C3" s="506"/>
      <c r="D3" s="506"/>
      <c r="E3" s="506"/>
      <c r="F3" s="506"/>
      <c r="G3" s="506"/>
      <c r="H3" s="506"/>
      <c r="I3" s="506"/>
      <c r="J3" s="506"/>
      <c r="K3" s="506"/>
      <c r="L3" s="507"/>
      <c r="M3" s="383"/>
    </row>
    <row r="4" spans="1:13" ht="17.100000000000001" customHeight="1">
      <c r="A4" s="379"/>
      <c r="B4" s="384" t="s">
        <v>174</v>
      </c>
      <c r="C4" s="2"/>
      <c r="D4" s="2"/>
      <c r="E4" s="387" t="s">
        <v>175</v>
      </c>
      <c r="F4" s="390" t="s">
        <v>176</v>
      </c>
      <c r="G4" s="387" t="s">
        <v>177</v>
      </c>
      <c r="H4" s="3"/>
      <c r="I4" s="3"/>
      <c r="J4" s="394" t="s">
        <v>178</v>
      </c>
      <c r="K4" s="395"/>
      <c r="L4" s="396"/>
      <c r="M4" s="400" t="s">
        <v>179</v>
      </c>
    </row>
    <row r="5" spans="1:13">
      <c r="A5" s="379"/>
      <c r="B5" s="385"/>
      <c r="C5" s="4" t="s">
        <v>180</v>
      </c>
      <c r="D5" s="4" t="s">
        <v>181</v>
      </c>
      <c r="E5" s="388"/>
      <c r="F5" s="391"/>
      <c r="G5" s="392"/>
      <c r="H5" s="5" t="s">
        <v>182</v>
      </c>
      <c r="I5" s="5" t="s">
        <v>183</v>
      </c>
      <c r="J5" s="397"/>
      <c r="K5" s="398"/>
      <c r="L5" s="399"/>
      <c r="M5" s="401"/>
    </row>
    <row r="6" spans="1:13" ht="17.25" thickBot="1">
      <c r="A6" s="380"/>
      <c r="B6" s="386"/>
      <c r="C6" s="6" t="s">
        <v>184</v>
      </c>
      <c r="D6" s="6"/>
      <c r="E6" s="389"/>
      <c r="F6" s="7" t="s">
        <v>185</v>
      </c>
      <c r="G6" s="393"/>
      <c r="H6" s="8"/>
      <c r="I6" s="8" t="s">
        <v>186</v>
      </c>
      <c r="J6" s="9" t="s">
        <v>36</v>
      </c>
      <c r="K6" s="10" t="s">
        <v>81</v>
      </c>
      <c r="L6" s="11" t="s">
        <v>187</v>
      </c>
      <c r="M6" s="12" t="s">
        <v>188</v>
      </c>
    </row>
    <row r="7" spans="1:13">
      <c r="A7" s="13" t="s">
        <v>189</v>
      </c>
      <c r="B7" s="14"/>
      <c r="C7" s="15"/>
      <c r="D7" s="15"/>
      <c r="E7" s="15"/>
      <c r="F7" s="15"/>
      <c r="G7" s="15"/>
      <c r="H7" s="16"/>
      <c r="I7" s="16" t="s">
        <v>190</v>
      </c>
      <c r="J7" s="16"/>
      <c r="K7" s="17"/>
      <c r="L7" s="17"/>
    </row>
    <row r="8" spans="1:13">
      <c r="A8" s="18" t="s">
        <v>189</v>
      </c>
      <c r="B8" s="19"/>
      <c r="C8" s="20"/>
      <c r="D8" s="20"/>
      <c r="E8" s="20"/>
      <c r="F8" s="20"/>
      <c r="G8" s="20"/>
      <c r="H8" s="21"/>
      <c r="I8" s="21" t="s">
        <v>191</v>
      </c>
      <c r="J8" s="21"/>
      <c r="K8" s="17"/>
      <c r="L8" s="17"/>
    </row>
    <row r="9" spans="1:13">
      <c r="A9" s="22">
        <v>1</v>
      </c>
      <c r="B9" s="23"/>
      <c r="C9" s="24"/>
      <c r="D9" s="24"/>
      <c r="E9" s="24"/>
      <c r="F9" s="25"/>
      <c r="G9" s="25"/>
      <c r="H9" s="26"/>
      <c r="I9" s="26" t="s">
        <v>192</v>
      </c>
      <c r="J9" s="26"/>
      <c r="K9" s="27"/>
      <c r="L9" s="27"/>
    </row>
    <row r="10" spans="1:13">
      <c r="A10" s="28">
        <v>2</v>
      </c>
      <c r="B10" s="29"/>
      <c r="C10" s="25"/>
      <c r="D10" s="25"/>
      <c r="E10" s="25"/>
      <c r="F10" s="25"/>
      <c r="G10" s="25"/>
      <c r="H10" s="26"/>
      <c r="I10" s="26" t="s">
        <v>193</v>
      </c>
      <c r="J10" s="26"/>
      <c r="K10" s="27"/>
      <c r="L10" s="27"/>
    </row>
    <row r="11" spans="1:13">
      <c r="A11" s="28">
        <v>3</v>
      </c>
      <c r="B11" s="29"/>
      <c r="C11" s="25"/>
      <c r="D11" s="25"/>
      <c r="E11" s="25"/>
      <c r="F11" s="25"/>
      <c r="G11" s="25"/>
      <c r="H11" s="26"/>
      <c r="I11" s="26" t="s">
        <v>194</v>
      </c>
      <c r="J11" s="26"/>
      <c r="K11" s="27"/>
      <c r="L11" s="27"/>
    </row>
    <row r="12" spans="1:13">
      <c r="A12" s="28">
        <v>4</v>
      </c>
      <c r="B12" s="29"/>
      <c r="C12" s="25"/>
      <c r="D12" s="25"/>
      <c r="E12" s="25"/>
      <c r="F12" s="25"/>
      <c r="G12" s="25"/>
      <c r="H12" s="26"/>
      <c r="I12" s="26" t="s">
        <v>195</v>
      </c>
      <c r="J12" s="26"/>
      <c r="K12" s="27"/>
      <c r="L12" s="27"/>
    </row>
    <row r="13" spans="1:13">
      <c r="A13" s="28">
        <v>5</v>
      </c>
      <c r="B13" s="29"/>
      <c r="C13" s="25"/>
      <c r="D13" s="25"/>
      <c r="E13" s="25"/>
      <c r="F13" s="25"/>
      <c r="G13" s="25"/>
      <c r="H13" s="26"/>
      <c r="I13" s="26" t="s">
        <v>196</v>
      </c>
      <c r="J13" s="26"/>
      <c r="K13" s="27"/>
      <c r="L13" s="27"/>
    </row>
    <row r="14" spans="1:13" ht="30" customHeight="1">
      <c r="A14" s="28">
        <v>6</v>
      </c>
      <c r="B14" s="29"/>
      <c r="C14" s="25"/>
      <c r="D14" s="25"/>
      <c r="E14" s="25"/>
      <c r="F14" s="25"/>
      <c r="G14" s="25"/>
      <c r="H14" s="26"/>
      <c r="I14" s="26" t="s">
        <v>197</v>
      </c>
      <c r="J14" s="26"/>
      <c r="K14" s="27"/>
      <c r="L14" s="27"/>
    </row>
    <row r="15" spans="1:13" ht="30" customHeight="1">
      <c r="A15" s="28">
        <v>7</v>
      </c>
      <c r="B15" s="29"/>
      <c r="C15" s="25"/>
      <c r="D15" s="25"/>
      <c r="E15" s="25"/>
      <c r="F15" s="25"/>
      <c r="G15" s="25"/>
      <c r="H15" s="26"/>
      <c r="I15" s="26" t="s">
        <v>198</v>
      </c>
      <c r="J15" s="26"/>
      <c r="K15" s="27"/>
      <c r="L15" s="27"/>
    </row>
    <row r="16" spans="1:13" ht="30" customHeight="1">
      <c r="A16" s="28">
        <v>8</v>
      </c>
      <c r="B16" s="29"/>
      <c r="C16" s="25"/>
      <c r="D16" s="25"/>
      <c r="E16" s="25"/>
      <c r="F16" s="25"/>
      <c r="G16" s="25"/>
      <c r="H16" s="26"/>
      <c r="I16" s="26" t="s">
        <v>199</v>
      </c>
      <c r="L16" s="27"/>
    </row>
    <row r="17" spans="9:9" ht="30" customHeight="1">
      <c r="I17" s="30" t="s">
        <v>200</v>
      </c>
    </row>
    <row r="18" spans="9:9" ht="30" customHeight="1">
      <c r="I18" s="30" t="s">
        <v>201</v>
      </c>
    </row>
    <row r="19" spans="9:9" ht="30" customHeight="1">
      <c r="I19" s="30" t="s">
        <v>202</v>
      </c>
    </row>
    <row r="20" spans="9:9" ht="30" customHeight="1">
      <c r="I20" s="30" t="s">
        <v>203</v>
      </c>
    </row>
    <row r="21" spans="9:9" ht="30" customHeight="1">
      <c r="I21" s="30" t="s">
        <v>204</v>
      </c>
    </row>
    <row r="22" spans="9:9" ht="30" customHeight="1"/>
    <row r="23" spans="9:9" ht="30" customHeight="1"/>
    <row r="24" spans="9:9" ht="30" customHeight="1"/>
    <row r="25" spans="9:9" ht="30" customHeight="1"/>
    <row r="26" spans="9:9" ht="30" customHeight="1"/>
    <row r="27" spans="9:9" ht="30" customHeight="1"/>
    <row r="28" spans="9:9" ht="30" customHeight="1"/>
    <row r="29" spans="9:9" ht="30" customHeight="1"/>
    <row r="30" spans="9:9" ht="30" customHeight="1"/>
    <row r="31" spans="9:9" ht="30" customHeight="1"/>
    <row r="32" spans="9:9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</sheetData>
  <mergeCells count="9">
    <mergeCell ref="A2:A6"/>
    <mergeCell ref="B2:L3"/>
    <mergeCell ref="M2:M3"/>
    <mergeCell ref="B4:B6"/>
    <mergeCell ref="E4:E6"/>
    <mergeCell ref="F4:F5"/>
    <mergeCell ref="G4:G6"/>
    <mergeCell ref="J4:L5"/>
    <mergeCell ref="M4:M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CD0F-4B84-4624-9A0A-DA4DDA4513BD}">
  <dimension ref="A1:AI101"/>
  <sheetViews>
    <sheetView workbookViewId="0">
      <selection activeCell="D23" sqref="D23"/>
    </sheetView>
  </sheetViews>
  <sheetFormatPr defaultRowHeight="16.5"/>
  <cols>
    <col min="1" max="1" width="9" style="1"/>
    <col min="2" max="2" width="21.375" style="1" customWidth="1"/>
    <col min="3" max="3" width="12.375" style="1" customWidth="1"/>
    <col min="4" max="4" width="28.625" style="1" customWidth="1"/>
    <col min="5" max="5" width="18" style="1" customWidth="1"/>
    <col min="6" max="6" width="30.625" style="1" customWidth="1"/>
    <col min="7" max="7" width="49.25" style="1" customWidth="1"/>
    <col min="8" max="8" width="0" style="1" hidden="1" customWidth="1"/>
    <col min="9" max="9" width="42.875" style="1" customWidth="1"/>
    <col min="10" max="10" width="18.875" style="1" customWidth="1"/>
    <col min="11" max="15" width="9" style="1"/>
    <col min="16" max="16" width="59.5" style="1" customWidth="1"/>
    <col min="17" max="17" width="6.75" style="1" customWidth="1"/>
    <col min="18" max="18" width="32" style="1" customWidth="1"/>
    <col min="19" max="19" width="7.5" style="1" customWidth="1"/>
    <col min="20" max="27" width="9" style="1"/>
    <col min="28" max="28" width="15.875" style="1" customWidth="1"/>
    <col min="29" max="29" width="19.375" style="1" customWidth="1"/>
    <col min="30" max="31" width="9" style="1"/>
    <col min="32" max="32" width="16.125" style="1" customWidth="1"/>
    <col min="33" max="33" width="20.875" style="1" customWidth="1"/>
    <col min="34" max="34" width="33.625" style="1" customWidth="1"/>
    <col min="35" max="35" width="19.125" style="1" customWidth="1"/>
    <col min="36" max="16384" width="9" style="1"/>
  </cols>
  <sheetData>
    <row r="1" spans="1:35" ht="17.25" thickBot="1">
      <c r="Z1" s="378" t="s">
        <v>173</v>
      </c>
      <c r="AA1" s="412" t="s">
        <v>205</v>
      </c>
      <c r="AB1" s="413"/>
      <c r="AC1" s="413"/>
      <c r="AD1" s="413"/>
      <c r="AE1" s="413"/>
      <c r="AF1" s="413"/>
      <c r="AG1" s="413"/>
      <c r="AH1" s="414"/>
    </row>
    <row r="2" spans="1:35">
      <c r="A2" s="378" t="s">
        <v>173</v>
      </c>
      <c r="B2" s="381" t="s">
        <v>206</v>
      </c>
      <c r="C2" s="424"/>
      <c r="D2" s="424"/>
      <c r="E2" s="424"/>
      <c r="F2" s="424"/>
      <c r="G2" s="424"/>
      <c r="H2" s="424"/>
      <c r="I2" s="425"/>
      <c r="J2" s="508"/>
      <c r="K2" s="508"/>
      <c r="L2" s="508"/>
      <c r="M2" s="508"/>
      <c r="N2" s="508"/>
      <c r="O2" s="508"/>
      <c r="P2" s="508"/>
      <c r="Q2" s="508"/>
      <c r="R2" s="508"/>
      <c r="S2" s="508"/>
      <c r="T2" s="508"/>
      <c r="U2" s="508"/>
      <c r="V2" s="508"/>
      <c r="W2" s="508"/>
      <c r="X2" s="508"/>
      <c r="Y2" s="508"/>
      <c r="Z2" s="379"/>
      <c r="AA2" s="415"/>
      <c r="AB2" s="416"/>
      <c r="AC2" s="416"/>
      <c r="AD2" s="416"/>
      <c r="AE2" s="416"/>
      <c r="AF2" s="416"/>
      <c r="AG2" s="416"/>
      <c r="AH2" s="417"/>
    </row>
    <row r="3" spans="1:35">
      <c r="A3" s="379"/>
      <c r="B3" s="426"/>
      <c r="C3" s="427"/>
      <c r="D3" s="427"/>
      <c r="E3" s="427"/>
      <c r="F3" s="427"/>
      <c r="G3" s="427"/>
      <c r="H3" s="427"/>
      <c r="I3" s="428"/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379"/>
      <c r="AA3" s="418" t="s">
        <v>207</v>
      </c>
      <c r="AB3" s="421" t="s">
        <v>208</v>
      </c>
      <c r="AC3" s="31"/>
      <c r="AD3" s="31"/>
      <c r="AE3" s="402" t="s">
        <v>209</v>
      </c>
      <c r="AF3" s="403" t="s">
        <v>71</v>
      </c>
      <c r="AG3" s="404"/>
      <c r="AH3" s="405"/>
      <c r="AI3" s="32"/>
    </row>
    <row r="4" spans="1:35">
      <c r="A4" s="379"/>
      <c r="B4" s="384" t="s">
        <v>207</v>
      </c>
      <c r="C4" s="387" t="s">
        <v>210</v>
      </c>
      <c r="D4" s="33"/>
      <c r="E4" s="33"/>
      <c r="F4" s="409" t="s">
        <v>209</v>
      </c>
      <c r="G4" s="394" t="s">
        <v>71</v>
      </c>
      <c r="H4" s="395"/>
      <c r="I4" s="410"/>
      <c r="J4" s="509" t="s">
        <v>211</v>
      </c>
      <c r="K4" s="508"/>
      <c r="L4" s="508"/>
      <c r="M4" s="508"/>
      <c r="N4" s="508"/>
      <c r="P4" s="508"/>
      <c r="R4" s="508"/>
      <c r="S4" s="508"/>
      <c r="T4" s="508"/>
      <c r="U4" s="508"/>
      <c r="V4" s="508"/>
      <c r="W4" s="508"/>
      <c r="X4" s="508"/>
      <c r="Y4" s="508"/>
      <c r="Z4" s="379"/>
      <c r="AA4" s="419"/>
      <c r="AB4" s="422"/>
      <c r="AC4" s="34" t="s">
        <v>212</v>
      </c>
      <c r="AD4" s="34" t="s">
        <v>213</v>
      </c>
      <c r="AE4" s="510"/>
      <c r="AF4" s="406"/>
      <c r="AG4" s="407"/>
      <c r="AH4" s="408"/>
      <c r="AI4" s="32" t="s">
        <v>214</v>
      </c>
    </row>
    <row r="5" spans="1:35" ht="17.25" thickBot="1">
      <c r="A5" s="379"/>
      <c r="B5" s="385"/>
      <c r="C5" s="388"/>
      <c r="D5" s="35" t="s">
        <v>215</v>
      </c>
      <c r="E5" s="35" t="s">
        <v>216</v>
      </c>
      <c r="F5" s="511"/>
      <c r="G5" s="397"/>
      <c r="H5" s="398"/>
      <c r="I5" s="411"/>
      <c r="J5" s="509"/>
      <c r="K5" s="508"/>
      <c r="L5" s="508"/>
      <c r="M5" s="508"/>
      <c r="N5" s="508"/>
      <c r="O5" s="508"/>
      <c r="P5" s="508"/>
      <c r="Q5" s="508"/>
      <c r="R5" s="508"/>
      <c r="S5" s="508"/>
      <c r="T5" s="508"/>
      <c r="U5" s="508"/>
      <c r="V5" s="508"/>
      <c r="W5" s="508"/>
      <c r="X5" s="508"/>
      <c r="Y5" s="508"/>
      <c r="Z5" s="380"/>
      <c r="AA5" s="420"/>
      <c r="AB5" s="423"/>
      <c r="AC5" s="36"/>
      <c r="AD5" s="36"/>
      <c r="AE5" s="37" t="s">
        <v>217</v>
      </c>
      <c r="AF5" s="38" t="s">
        <v>36</v>
      </c>
      <c r="AG5" s="39" t="s">
        <v>81</v>
      </c>
      <c r="AH5" s="40" t="s">
        <v>187</v>
      </c>
      <c r="AI5" s="32"/>
    </row>
    <row r="6" spans="1:35" ht="17.25" thickBot="1">
      <c r="A6" s="380"/>
      <c r="B6" s="386"/>
      <c r="C6" s="389"/>
      <c r="D6" s="41"/>
      <c r="E6" s="41"/>
      <c r="F6" s="7" t="s">
        <v>217</v>
      </c>
      <c r="G6" s="9" t="s">
        <v>36</v>
      </c>
      <c r="H6" s="10" t="s">
        <v>81</v>
      </c>
      <c r="I6" s="42" t="s">
        <v>187</v>
      </c>
      <c r="J6" s="509"/>
      <c r="K6" s="508"/>
      <c r="L6" s="508"/>
      <c r="M6" s="508"/>
      <c r="N6" s="508"/>
      <c r="O6" s="508"/>
      <c r="P6" s="508"/>
      <c r="Q6" s="508"/>
      <c r="R6" s="508"/>
      <c r="S6" s="508"/>
      <c r="T6" s="508"/>
      <c r="U6" s="508"/>
      <c r="V6" s="508"/>
      <c r="W6" s="508"/>
      <c r="X6" s="508"/>
      <c r="Y6" s="508"/>
      <c r="Z6" s="13" t="s">
        <v>189</v>
      </c>
      <c r="AA6" s="14"/>
      <c r="AB6" s="15"/>
      <c r="AC6" s="15"/>
      <c r="AD6" s="15"/>
      <c r="AE6" s="15"/>
      <c r="AF6" s="15"/>
      <c r="AG6" s="15"/>
      <c r="AH6" s="43"/>
    </row>
    <row r="7" spans="1:35">
      <c r="A7" s="13" t="s">
        <v>189</v>
      </c>
      <c r="B7" s="14" t="s">
        <v>218</v>
      </c>
      <c r="C7" s="15" t="s">
        <v>54</v>
      </c>
      <c r="D7" s="15" t="s">
        <v>219</v>
      </c>
      <c r="E7" s="15"/>
      <c r="F7" s="15"/>
      <c r="G7" s="15"/>
      <c r="H7" s="15"/>
      <c r="I7" s="43"/>
      <c r="Z7" s="18" t="s">
        <v>189</v>
      </c>
      <c r="AA7" s="19"/>
      <c r="AB7" s="20"/>
      <c r="AC7" s="20"/>
      <c r="AD7" s="20"/>
      <c r="AE7" s="20"/>
      <c r="AF7" s="20"/>
      <c r="AG7" s="20"/>
      <c r="AH7" s="44"/>
    </row>
    <row r="8" spans="1:35">
      <c r="A8" s="18" t="s">
        <v>189</v>
      </c>
      <c r="B8" s="19"/>
      <c r="C8" s="20"/>
      <c r="D8" s="20"/>
      <c r="E8" s="20"/>
      <c r="F8" s="20"/>
      <c r="G8" s="20"/>
      <c r="H8" s="20"/>
      <c r="I8" s="44"/>
      <c r="Z8" s="22">
        <v>1</v>
      </c>
      <c r="AA8" s="23"/>
      <c r="AB8" s="24"/>
      <c r="AC8" s="24"/>
      <c r="AD8" s="24"/>
      <c r="AE8" s="24"/>
      <c r="AF8" s="25"/>
      <c r="AG8" s="25"/>
      <c r="AH8" s="45"/>
    </row>
    <row r="9" spans="1:35">
      <c r="A9" s="22">
        <v>1</v>
      </c>
      <c r="B9" s="23"/>
      <c r="C9" s="24"/>
      <c r="D9" s="24"/>
      <c r="E9" s="24"/>
      <c r="F9" s="24"/>
      <c r="G9" s="25"/>
      <c r="H9" s="25"/>
      <c r="I9" s="45"/>
      <c r="Z9" s="28">
        <v>2</v>
      </c>
      <c r="AA9" s="29"/>
      <c r="AB9" s="25"/>
      <c r="AC9" s="25"/>
      <c r="AD9" s="25"/>
      <c r="AE9" s="25"/>
      <c r="AF9" s="25"/>
      <c r="AG9" s="25"/>
      <c r="AH9" s="45"/>
    </row>
    <row r="10" spans="1:35">
      <c r="A10" s="28">
        <v>2</v>
      </c>
      <c r="B10" s="29"/>
      <c r="C10" s="25"/>
      <c r="D10" s="25"/>
      <c r="E10" s="25"/>
      <c r="F10" s="25"/>
      <c r="G10" s="25"/>
      <c r="H10" s="25"/>
      <c r="I10" s="45"/>
      <c r="Z10" s="28">
        <v>3</v>
      </c>
      <c r="AA10" s="29"/>
      <c r="AB10" s="25"/>
      <c r="AC10" s="25"/>
      <c r="AD10" s="25"/>
      <c r="AE10" s="25"/>
      <c r="AF10" s="25"/>
      <c r="AG10" s="25"/>
      <c r="AH10" s="45"/>
    </row>
    <row r="11" spans="1:35">
      <c r="A11" s="28">
        <v>3</v>
      </c>
      <c r="B11" s="29"/>
      <c r="C11" s="25"/>
      <c r="D11" s="25"/>
      <c r="E11" s="25"/>
      <c r="F11" s="25"/>
      <c r="G11" s="25"/>
      <c r="H11" s="25"/>
      <c r="I11" s="45"/>
      <c r="Z11" s="28">
        <v>4</v>
      </c>
      <c r="AA11" s="29"/>
      <c r="AB11" s="25"/>
      <c r="AC11" s="25"/>
      <c r="AD11" s="25"/>
      <c r="AE11" s="25"/>
      <c r="AF11" s="25"/>
      <c r="AG11" s="25"/>
      <c r="AH11" s="45"/>
    </row>
    <row r="12" spans="1:35">
      <c r="A12" s="28">
        <v>4</v>
      </c>
      <c r="B12" s="29"/>
      <c r="C12" s="25"/>
      <c r="D12" s="25"/>
      <c r="E12" s="25"/>
      <c r="F12" s="25"/>
      <c r="G12" s="25"/>
      <c r="H12" s="25"/>
      <c r="I12" s="45"/>
      <c r="Z12" s="28">
        <v>5</v>
      </c>
      <c r="AA12" s="29"/>
      <c r="AB12" s="25"/>
      <c r="AC12" s="25"/>
      <c r="AD12" s="25"/>
      <c r="AE12" s="25"/>
      <c r="AF12" s="25"/>
      <c r="AG12" s="25"/>
      <c r="AH12" s="45"/>
    </row>
    <row r="13" spans="1:35">
      <c r="A13" s="28">
        <v>5</v>
      </c>
      <c r="B13" s="29"/>
      <c r="C13" s="25"/>
      <c r="D13" s="25"/>
      <c r="E13" s="25"/>
      <c r="F13" s="25"/>
      <c r="G13" s="25"/>
      <c r="H13" s="25"/>
      <c r="I13" s="45"/>
      <c r="Z13" s="28">
        <v>6</v>
      </c>
      <c r="AA13" s="29"/>
      <c r="AB13" s="25"/>
      <c r="AC13" s="25"/>
      <c r="AD13" s="25"/>
      <c r="AE13" s="25"/>
      <c r="AF13" s="25"/>
      <c r="AG13" s="25"/>
      <c r="AH13" s="45"/>
    </row>
    <row r="14" spans="1:35" ht="30" customHeight="1">
      <c r="A14" s="28">
        <v>6</v>
      </c>
      <c r="B14" s="29"/>
      <c r="C14" s="25"/>
      <c r="D14" s="25"/>
      <c r="E14" s="25"/>
      <c r="F14" s="25"/>
      <c r="G14" s="25"/>
      <c r="H14" s="25"/>
      <c r="I14" s="45"/>
      <c r="Z14" s="28">
        <v>7</v>
      </c>
      <c r="AA14" s="29"/>
      <c r="AB14" s="25"/>
      <c r="AC14" s="25"/>
      <c r="AD14" s="25"/>
      <c r="AE14" s="25"/>
      <c r="AF14" s="25"/>
      <c r="AG14" s="25"/>
      <c r="AH14" s="45"/>
    </row>
    <row r="15" spans="1:35" ht="30" customHeight="1">
      <c r="A15" s="28">
        <v>7</v>
      </c>
      <c r="B15" s="29"/>
      <c r="C15" s="25"/>
      <c r="D15" s="25"/>
      <c r="E15" s="25"/>
      <c r="F15" s="25"/>
      <c r="G15" s="25"/>
      <c r="H15" s="25"/>
      <c r="I15" s="45"/>
      <c r="Z15" s="28">
        <v>8</v>
      </c>
      <c r="AA15" s="29"/>
      <c r="AB15" s="25"/>
      <c r="AC15" s="25"/>
      <c r="AD15" s="25"/>
      <c r="AE15" s="25"/>
      <c r="AF15" s="25"/>
      <c r="AG15" s="25"/>
      <c r="AH15" s="45"/>
    </row>
    <row r="16" spans="1:35" ht="30" customHeight="1">
      <c r="A16" s="28">
        <v>8</v>
      </c>
      <c r="B16" s="29"/>
      <c r="C16" s="25"/>
      <c r="D16" s="25"/>
      <c r="E16" s="25"/>
      <c r="F16" s="25"/>
      <c r="G16" s="25"/>
      <c r="H16" s="25"/>
      <c r="I16" s="45"/>
    </row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</sheetData>
  <mergeCells count="32">
    <mergeCell ref="A2:A6"/>
    <mergeCell ref="B2:I3"/>
    <mergeCell ref="J2:M3"/>
    <mergeCell ref="N2:R3"/>
    <mergeCell ref="S2:U3"/>
    <mergeCell ref="P4:P6"/>
    <mergeCell ref="R4:R6"/>
    <mergeCell ref="S4:S6"/>
    <mergeCell ref="T4:T6"/>
    <mergeCell ref="AE3:AE4"/>
    <mergeCell ref="AF3:AH4"/>
    <mergeCell ref="B4:B6"/>
    <mergeCell ref="C4:C6"/>
    <mergeCell ref="F4:F5"/>
    <mergeCell ref="G4:I5"/>
    <mergeCell ref="J4:J6"/>
    <mergeCell ref="K4:K6"/>
    <mergeCell ref="L4:L6"/>
    <mergeCell ref="M4:M6"/>
    <mergeCell ref="Z1:Z5"/>
    <mergeCell ref="AA1:AH2"/>
    <mergeCell ref="V2:Y3"/>
    <mergeCell ref="AA3:AA5"/>
    <mergeCell ref="AB3:AB5"/>
    <mergeCell ref="N4:N6"/>
    <mergeCell ref="V4:V6"/>
    <mergeCell ref="W4:W6"/>
    <mergeCell ref="X4:X6"/>
    <mergeCell ref="Y4:Y6"/>
    <mergeCell ref="O5:O6"/>
    <mergeCell ref="Q5:Q6"/>
    <mergeCell ref="U4:U6"/>
  </mergeCells>
  <phoneticPr fontId="2" type="noConversion"/>
  <conditionalFormatting sqref="M7:M16">
    <cfRule type="expression" dxfId="9" priority="5">
      <formula>$N7="L"</formula>
    </cfRule>
    <cfRule type="expression" dxfId="8" priority="6">
      <formula>$N7="M"</formula>
    </cfRule>
    <cfRule type="expression" dxfId="7" priority="7">
      <formula>$N7="H"</formula>
    </cfRule>
  </conditionalFormatting>
  <conditionalFormatting sqref="T7:T16">
    <cfRule type="expression" dxfId="6" priority="1">
      <formula>$U7="수용"</formula>
    </cfRule>
    <cfRule type="expression" dxfId="5" priority="2">
      <formula>$U7="H"</formula>
    </cfRule>
    <cfRule type="expression" dxfId="4" priority="3">
      <formula>$U7="M"</formula>
    </cfRule>
    <cfRule type="expression" dxfId="3" priority="4">
      <formula>$U7="L"</formula>
    </cfRule>
  </conditionalFormatting>
  <dataValidations count="1">
    <dataValidation type="list" allowBlank="1" showInputMessage="1" showErrorMessage="1" sqref="Y7:Y16" xr:uid="{CC34A073-A752-4672-9752-49885D00B6A3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2431-C249-4E22-923A-7ACDE9C6F20C}">
  <sheetPr>
    <tabColor theme="5" tint="0.79998168889431442"/>
    <pageSetUpPr fitToPage="1"/>
  </sheetPr>
  <dimension ref="A1:Q9"/>
  <sheetViews>
    <sheetView showGridLines="0" zoomScale="85" zoomScaleNormal="85" workbookViewId="0">
      <pane xSplit="1" ySplit="3" topLeftCell="K5" activePane="bottomRight" state="frozen"/>
      <selection pane="bottomRight" activeCell="P8" sqref="P8"/>
      <selection pane="bottomLeft" activeCell="D14" sqref="D14"/>
      <selection pane="topRight" activeCell="D14" sqref="D14"/>
    </sheetView>
  </sheetViews>
  <sheetFormatPr defaultColWidth="9" defaultRowHeight="13.5"/>
  <cols>
    <col min="1" max="1" width="4.375" style="108" customWidth="1"/>
    <col min="2" max="2" width="5.5" style="108" bestFit="1" customWidth="1"/>
    <col min="3" max="3" width="5.5" style="108" customWidth="1"/>
    <col min="4" max="4" width="5.375" style="108" customWidth="1"/>
    <col min="5" max="5" width="17.375" style="108" customWidth="1"/>
    <col min="6" max="6" width="26.75" style="198" customWidth="1"/>
    <col min="7" max="7" width="10.625" style="226" customWidth="1"/>
    <col min="8" max="8" width="10.625" style="198" customWidth="1"/>
    <col min="9" max="9" width="15.5" style="198" customWidth="1"/>
    <col min="10" max="10" width="29.75" style="108" customWidth="1"/>
    <col min="11" max="11" width="30.625" style="108" customWidth="1"/>
    <col min="12" max="12" width="30.625" style="197" customWidth="1" collapsed="1"/>
    <col min="13" max="13" width="41.875" style="196" customWidth="1"/>
    <col min="14" max="14" width="41.625" style="108" customWidth="1"/>
    <col min="15" max="15" width="20.625" style="108" customWidth="1"/>
    <col min="16" max="16384" width="9" style="108"/>
  </cols>
  <sheetData>
    <row r="1" spans="1:17" ht="14.25" thickBot="1"/>
    <row r="2" spans="1:17" ht="20.100000000000001" customHeight="1">
      <c r="B2" s="429" t="s">
        <v>141</v>
      </c>
      <c r="C2" s="435" t="s">
        <v>220</v>
      </c>
      <c r="D2" s="436"/>
      <c r="E2" s="436"/>
      <c r="F2" s="436"/>
      <c r="G2" s="436"/>
      <c r="H2" s="437"/>
      <c r="I2" s="433" t="s">
        <v>221</v>
      </c>
      <c r="J2" s="433"/>
      <c r="K2" s="434" t="s">
        <v>222</v>
      </c>
      <c r="L2" s="434"/>
      <c r="M2" s="431" t="s">
        <v>179</v>
      </c>
      <c r="N2" s="431"/>
      <c r="O2" s="432"/>
    </row>
    <row r="3" spans="1:17" ht="54.75" thickBot="1">
      <c r="B3" s="430"/>
      <c r="C3" s="219" t="s">
        <v>223</v>
      </c>
      <c r="D3" s="219" t="s">
        <v>224</v>
      </c>
      <c r="E3" s="219" t="s">
        <v>225</v>
      </c>
      <c r="F3" s="220" t="s">
        <v>226</v>
      </c>
      <c r="G3" s="221" t="s">
        <v>36</v>
      </c>
      <c r="H3" s="221" t="s">
        <v>81</v>
      </c>
      <c r="I3" s="219" t="s">
        <v>227</v>
      </c>
      <c r="J3" s="219" t="s">
        <v>228</v>
      </c>
      <c r="K3" s="222" t="s">
        <v>76</v>
      </c>
      <c r="L3" s="222" t="s">
        <v>77</v>
      </c>
      <c r="M3" s="223" t="s">
        <v>229</v>
      </c>
      <c r="N3" s="224" t="s">
        <v>230</v>
      </c>
      <c r="O3" s="225" t="s">
        <v>231</v>
      </c>
    </row>
    <row r="4" spans="1:17" ht="80.099999999999994" customHeight="1">
      <c r="A4" s="107"/>
      <c r="B4" s="324" t="s">
        <v>82</v>
      </c>
      <c r="C4" s="324" t="s">
        <v>232</v>
      </c>
      <c r="D4" s="324" t="s">
        <v>233</v>
      </c>
      <c r="E4" s="324" t="s">
        <v>234</v>
      </c>
      <c r="F4" s="324" t="s">
        <v>235</v>
      </c>
      <c r="G4" s="325" t="s">
        <v>21</v>
      </c>
      <c r="H4" s="325" t="s">
        <v>236</v>
      </c>
      <c r="I4" s="325" t="s">
        <v>237</v>
      </c>
      <c r="J4" s="324" t="s">
        <v>238</v>
      </c>
      <c r="K4" s="324" t="s">
        <v>239</v>
      </c>
      <c r="L4" s="324" t="s">
        <v>240</v>
      </c>
      <c r="M4" s="324" t="s">
        <v>241</v>
      </c>
      <c r="N4" s="324" t="s">
        <v>242</v>
      </c>
      <c r="O4" s="326" t="s">
        <v>89</v>
      </c>
      <c r="P4" s="108">
        <v>1</v>
      </c>
      <c r="Q4" s="108" t="s">
        <v>90</v>
      </c>
    </row>
    <row r="5" spans="1:17" ht="80.099999999999994" customHeight="1">
      <c r="A5" s="107"/>
      <c r="B5" s="195" t="s">
        <v>82</v>
      </c>
      <c r="C5" s="195" t="s">
        <v>243</v>
      </c>
      <c r="D5" s="195" t="s">
        <v>233</v>
      </c>
      <c r="E5" s="195" t="s">
        <v>244</v>
      </c>
      <c r="F5" s="195" t="s">
        <v>245</v>
      </c>
      <c r="G5" s="202" t="s">
        <v>21</v>
      </c>
      <c r="H5" s="202" t="s">
        <v>236</v>
      </c>
      <c r="I5" s="202" t="s">
        <v>246</v>
      </c>
      <c r="J5" s="195" t="s">
        <v>247</v>
      </c>
      <c r="K5" s="195" t="s">
        <v>248</v>
      </c>
      <c r="L5" s="195" t="s">
        <v>249</v>
      </c>
      <c r="M5" s="195" t="s">
        <v>250</v>
      </c>
      <c r="N5" s="195" t="s">
        <v>251</v>
      </c>
      <c r="O5" s="326" t="s">
        <v>89</v>
      </c>
      <c r="P5" s="108">
        <v>2</v>
      </c>
      <c r="Q5" s="108" t="s">
        <v>90</v>
      </c>
    </row>
    <row r="6" spans="1:17" ht="80.099999999999994" customHeight="1">
      <c r="A6" s="107"/>
      <c r="B6" s="195" t="s">
        <v>82</v>
      </c>
      <c r="C6" s="195" t="s">
        <v>243</v>
      </c>
      <c r="D6" s="195" t="s">
        <v>252</v>
      </c>
      <c r="E6" s="195" t="s">
        <v>253</v>
      </c>
      <c r="F6" s="195" t="s">
        <v>254</v>
      </c>
      <c r="G6" s="202" t="s">
        <v>21</v>
      </c>
      <c r="H6" s="202" t="s">
        <v>236</v>
      </c>
      <c r="I6" s="202" t="s">
        <v>237</v>
      </c>
      <c r="J6" s="195" t="s">
        <v>255</v>
      </c>
      <c r="K6" s="195" t="s">
        <v>256</v>
      </c>
      <c r="L6" s="195" t="s">
        <v>257</v>
      </c>
      <c r="M6" s="195" t="s">
        <v>258</v>
      </c>
      <c r="N6" s="195" t="s">
        <v>259</v>
      </c>
      <c r="O6" s="326" t="s">
        <v>100</v>
      </c>
      <c r="P6" s="108">
        <v>3</v>
      </c>
    </row>
    <row r="7" spans="1:17" ht="80.099999999999994" customHeight="1">
      <c r="A7" s="107"/>
      <c r="B7" s="195" t="s">
        <v>82</v>
      </c>
      <c r="C7" s="195" t="s">
        <v>243</v>
      </c>
      <c r="D7" s="195" t="s">
        <v>252</v>
      </c>
      <c r="E7" s="195" t="s">
        <v>260</v>
      </c>
      <c r="F7" s="195" t="s">
        <v>261</v>
      </c>
      <c r="G7" s="202" t="s">
        <v>21</v>
      </c>
      <c r="H7" s="202" t="s">
        <v>236</v>
      </c>
      <c r="I7" s="315" t="s">
        <v>237</v>
      </c>
      <c r="J7" s="195" t="s">
        <v>262</v>
      </c>
      <c r="K7" s="195" t="s">
        <v>263</v>
      </c>
      <c r="L7" s="195" t="s">
        <v>264</v>
      </c>
      <c r="M7" s="195" t="s">
        <v>265</v>
      </c>
      <c r="N7" s="195" t="s">
        <v>266</v>
      </c>
      <c r="O7" s="325" t="s">
        <v>100</v>
      </c>
      <c r="P7" s="108">
        <v>4</v>
      </c>
    </row>
    <row r="8" spans="1:17" ht="80.099999999999994" customHeight="1">
      <c r="A8" s="107"/>
      <c r="B8" s="195" t="s">
        <v>82</v>
      </c>
      <c r="C8" s="195" t="s">
        <v>243</v>
      </c>
      <c r="D8" s="195" t="s">
        <v>267</v>
      </c>
      <c r="E8" s="195" t="s">
        <v>268</v>
      </c>
      <c r="F8" s="195" t="s">
        <v>269</v>
      </c>
      <c r="G8" s="202" t="s">
        <v>21</v>
      </c>
      <c r="H8" s="202" t="s">
        <v>236</v>
      </c>
      <c r="I8" s="202" t="s">
        <v>246</v>
      </c>
      <c r="J8" s="195" t="s">
        <v>270</v>
      </c>
      <c r="K8" s="195" t="s">
        <v>271</v>
      </c>
      <c r="L8" s="195" t="s">
        <v>272</v>
      </c>
      <c r="M8" s="195" t="s">
        <v>273</v>
      </c>
      <c r="N8" s="195" t="s">
        <v>274</v>
      </c>
      <c r="O8" s="326" t="s">
        <v>100</v>
      </c>
      <c r="P8" s="108">
        <v>5</v>
      </c>
    </row>
    <row r="9" spans="1:17" ht="80.099999999999994" customHeight="1">
      <c r="A9" s="107"/>
      <c r="B9" s="195" t="s">
        <v>82</v>
      </c>
      <c r="C9" s="195" t="s">
        <v>243</v>
      </c>
      <c r="D9" s="195" t="s">
        <v>267</v>
      </c>
      <c r="E9" s="195" t="s">
        <v>275</v>
      </c>
      <c r="F9" s="195" t="s">
        <v>276</v>
      </c>
      <c r="G9" s="202" t="s">
        <v>21</v>
      </c>
      <c r="H9" s="202" t="s">
        <v>236</v>
      </c>
      <c r="I9" s="202" t="s">
        <v>246</v>
      </c>
      <c r="J9" s="195" t="s">
        <v>277</v>
      </c>
      <c r="K9" s="195" t="s">
        <v>278</v>
      </c>
      <c r="L9" s="195" t="s">
        <v>279</v>
      </c>
      <c r="M9" s="195" t="s">
        <v>280</v>
      </c>
      <c r="N9" s="195" t="s">
        <v>281</v>
      </c>
      <c r="O9" s="326" t="s">
        <v>100</v>
      </c>
      <c r="P9" s="108">
        <v>6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2:B3"/>
    <mergeCell ref="M2:O2"/>
    <mergeCell ref="I2:J2"/>
    <mergeCell ref="K2:L2"/>
    <mergeCell ref="C2:H2"/>
  </mergeCells>
  <phoneticPr fontId="2" type="noConversion"/>
  <conditionalFormatting sqref="I7">
    <cfRule type="expression" dxfId="2" priority="1">
      <formula>$J7="L"</formula>
    </cfRule>
    <cfRule type="expression" dxfId="1" priority="2">
      <formula>$J7="M"</formula>
    </cfRule>
    <cfRule type="expression" dxfId="0" priority="3">
      <formula>$J7="H"</formula>
    </cfRule>
  </conditionalFormatting>
  <dataValidations count="1">
    <dataValidation type="list" allowBlank="1" showInputMessage="1" showErrorMessage="1" sqref="C4:C9" xr:uid="{C2456795-694C-49D5-96FA-E13345C05873}">
      <formula1>"공적, 민간, 공적+민간"</formula1>
    </dataValidation>
  </dataValidations>
  <printOptions horizontalCentered="1"/>
  <pageMargins left="0.23622047244094491" right="0.23622047244094491" top="0.23622047244094491" bottom="0.23622047244094491" header="0.31496062992125984" footer="0.31496062992125984"/>
  <pageSetup paperSize="8" scale="65" fitToHeight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49EE-3240-418E-AA56-659B2DBCCEFF}">
  <sheetPr>
    <tabColor theme="5" tint="0.79998168889431442"/>
  </sheetPr>
  <dimension ref="A1:M9"/>
  <sheetViews>
    <sheetView showGridLines="0" tabSelected="1" zoomScale="85" zoomScaleNormal="85" workbookViewId="0">
      <pane xSplit="2" ySplit="4" topLeftCell="E5" activePane="bottomRight" state="frozen"/>
      <selection pane="bottomRight" activeCell="L5" sqref="L5:L9"/>
      <selection pane="bottomLeft" activeCell="A5" sqref="A5"/>
      <selection pane="topRight" activeCell="C1" sqref="C1"/>
    </sheetView>
  </sheetViews>
  <sheetFormatPr defaultColWidth="9" defaultRowHeight="17.25"/>
  <cols>
    <col min="1" max="1" width="4.75" style="170" bestFit="1" customWidth="1"/>
    <col min="2" max="2" width="5.5" style="170" customWidth="1"/>
    <col min="3" max="3" width="17.75" style="170" customWidth="1"/>
    <col min="4" max="4" width="7.75" style="171" bestFit="1" customWidth="1"/>
    <col min="5" max="5" width="53.625" style="170" customWidth="1"/>
    <col min="6" max="6" width="12.75" style="169" bestFit="1" customWidth="1"/>
    <col min="7" max="7" width="9.5" style="170" customWidth="1"/>
    <col min="8" max="8" width="11.25" style="170" customWidth="1"/>
    <col min="9" max="9" width="54.125" style="170" bestFit="1" customWidth="1"/>
    <col min="10" max="10" width="42.75" style="169" customWidth="1"/>
    <col min="11" max="11" width="9.75" style="169" bestFit="1" customWidth="1"/>
    <col min="12" max="12" width="4" style="170" customWidth="1"/>
    <col min="13" max="13" width="36.25" style="171" customWidth="1"/>
    <col min="14" max="15" width="9" style="170"/>
    <col min="16" max="16" width="14.25" style="170" customWidth="1"/>
    <col min="17" max="17" width="59.5" style="170" customWidth="1"/>
    <col min="18" max="18" width="6.75" style="170" customWidth="1"/>
    <col min="19" max="19" width="32" style="170" customWidth="1"/>
    <col min="20" max="20" width="7.5" style="170" customWidth="1"/>
    <col min="21" max="16384" width="9" style="170"/>
  </cols>
  <sheetData>
    <row r="1" spans="1:13">
      <c r="E1" s="169"/>
    </row>
    <row r="2" spans="1:13" ht="30" customHeight="1">
      <c r="A2" s="108"/>
      <c r="B2" s="438" t="s">
        <v>282</v>
      </c>
      <c r="C2" s="438"/>
      <c r="D2" s="438"/>
      <c r="E2" s="438"/>
      <c r="F2" s="438"/>
      <c r="G2" s="438"/>
      <c r="H2" s="438"/>
      <c r="I2" s="110"/>
      <c r="J2" s="108"/>
      <c r="K2" s="228"/>
    </row>
    <row r="3" spans="1:13" ht="30" customHeight="1">
      <c r="A3" s="108"/>
      <c r="B3" s="442" t="s">
        <v>283</v>
      </c>
      <c r="C3" s="442" t="s">
        <v>141</v>
      </c>
      <c r="D3" s="442" t="s">
        <v>284</v>
      </c>
      <c r="E3" s="439" t="s">
        <v>285</v>
      </c>
      <c r="F3" s="441" t="s">
        <v>286</v>
      </c>
      <c r="G3" s="442" t="s">
        <v>287</v>
      </c>
      <c r="H3" s="444" t="s">
        <v>179</v>
      </c>
      <c r="I3" s="445"/>
      <c r="J3" s="445"/>
      <c r="K3" s="446"/>
    </row>
    <row r="4" spans="1:13" ht="27">
      <c r="A4" s="108"/>
      <c r="B4" s="443"/>
      <c r="C4" s="443"/>
      <c r="D4" s="443"/>
      <c r="E4" s="440"/>
      <c r="F4" s="441"/>
      <c r="G4" s="443"/>
      <c r="H4" s="229" t="s">
        <v>288</v>
      </c>
      <c r="I4" s="229" t="s">
        <v>289</v>
      </c>
      <c r="J4" s="229" t="s">
        <v>290</v>
      </c>
      <c r="K4" s="229" t="s">
        <v>291</v>
      </c>
    </row>
    <row r="5" spans="1:13" s="108" customFormat="1" ht="49.5" customHeight="1">
      <c r="A5" s="170"/>
      <c r="B5" s="327">
        <v>1</v>
      </c>
      <c r="C5" s="327" t="s">
        <v>292</v>
      </c>
      <c r="D5" s="327" t="s">
        <v>21</v>
      </c>
      <c r="E5" s="328" t="s">
        <v>293</v>
      </c>
      <c r="F5" s="329" t="s">
        <v>22</v>
      </c>
      <c r="G5" s="330" t="s">
        <v>294</v>
      </c>
      <c r="H5" s="330" t="s">
        <v>294</v>
      </c>
      <c r="I5" s="328" t="s">
        <v>295</v>
      </c>
      <c r="J5" s="331" t="s">
        <v>296</v>
      </c>
      <c r="K5" s="502" t="s">
        <v>297</v>
      </c>
      <c r="L5" s="499">
        <v>1</v>
      </c>
      <c r="M5" s="226"/>
    </row>
    <row r="6" spans="1:13" s="108" customFormat="1" ht="51.75" customHeight="1">
      <c r="A6" s="170"/>
      <c r="B6" s="327">
        <v>2</v>
      </c>
      <c r="C6" s="327" t="s">
        <v>298</v>
      </c>
      <c r="D6" s="327" t="s">
        <v>21</v>
      </c>
      <c r="E6" s="328" t="s">
        <v>299</v>
      </c>
      <c r="F6" s="329" t="s">
        <v>22</v>
      </c>
      <c r="G6" s="330" t="s">
        <v>294</v>
      </c>
      <c r="H6" s="330" t="s">
        <v>294</v>
      </c>
      <c r="I6" s="328" t="s">
        <v>300</v>
      </c>
      <c r="J6" s="331" t="s">
        <v>301</v>
      </c>
      <c r="K6" s="502" t="s">
        <v>297</v>
      </c>
      <c r="L6" s="500">
        <v>2</v>
      </c>
      <c r="M6" s="226"/>
    </row>
    <row r="7" spans="1:13" s="108" customFormat="1" ht="47.25" customHeight="1">
      <c r="A7" s="170"/>
      <c r="B7" s="327">
        <v>3</v>
      </c>
      <c r="C7" s="327" t="s">
        <v>292</v>
      </c>
      <c r="D7" s="327" t="s">
        <v>21</v>
      </c>
      <c r="E7" s="328" t="s">
        <v>302</v>
      </c>
      <c r="F7" s="329" t="s">
        <v>22</v>
      </c>
      <c r="G7" s="330" t="s">
        <v>294</v>
      </c>
      <c r="H7" s="330" t="s">
        <v>294</v>
      </c>
      <c r="I7" s="328" t="s">
        <v>303</v>
      </c>
      <c r="J7" s="331" t="s">
        <v>304</v>
      </c>
      <c r="K7" s="502" t="s">
        <v>297</v>
      </c>
      <c r="L7" s="500">
        <v>3</v>
      </c>
      <c r="M7" s="226"/>
    </row>
    <row r="8" spans="1:13" s="108" customFormat="1" ht="35.1" customHeight="1">
      <c r="A8" s="170"/>
      <c r="B8" s="327">
        <v>4</v>
      </c>
      <c r="C8" s="327" t="s">
        <v>292</v>
      </c>
      <c r="D8" s="327" t="s">
        <v>21</v>
      </c>
      <c r="E8" s="328" t="s">
        <v>305</v>
      </c>
      <c r="F8" s="329" t="s">
        <v>22</v>
      </c>
      <c r="G8" s="330" t="s">
        <v>306</v>
      </c>
      <c r="H8" s="330" t="s">
        <v>306</v>
      </c>
      <c r="I8" s="328" t="s">
        <v>307</v>
      </c>
      <c r="J8" s="331" t="s">
        <v>304</v>
      </c>
      <c r="K8" s="502" t="s">
        <v>297</v>
      </c>
      <c r="L8" s="500">
        <v>4</v>
      </c>
      <c r="M8" s="226"/>
    </row>
    <row r="9" spans="1:13" customFormat="1" ht="35.1" customHeight="1">
      <c r="B9" s="327">
        <v>5</v>
      </c>
      <c r="C9" s="327" t="s">
        <v>292</v>
      </c>
      <c r="D9" s="327" t="s">
        <v>21</v>
      </c>
      <c r="E9" s="328" t="s">
        <v>308</v>
      </c>
      <c r="F9" s="329" t="s">
        <v>22</v>
      </c>
      <c r="G9" s="330" t="s">
        <v>306</v>
      </c>
      <c r="H9" s="330" t="s">
        <v>306</v>
      </c>
      <c r="I9" s="328" t="s">
        <v>309</v>
      </c>
      <c r="J9" s="331" t="s">
        <v>304</v>
      </c>
      <c r="K9" s="502" t="s">
        <v>297</v>
      </c>
      <c r="L9" s="501">
        <v>5</v>
      </c>
    </row>
  </sheetData>
  <mergeCells count="8">
    <mergeCell ref="B2:H2"/>
    <mergeCell ref="E3:E4"/>
    <mergeCell ref="F3:F4"/>
    <mergeCell ref="G3:G4"/>
    <mergeCell ref="H3:K3"/>
    <mergeCell ref="B3:B4"/>
    <mergeCell ref="D3:D4"/>
    <mergeCell ref="C3:C4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1622-6FB4-4739-9D21-50ED2EFB88A8}">
  <sheetPr>
    <tabColor theme="0"/>
  </sheetPr>
  <dimension ref="B2:N43"/>
  <sheetViews>
    <sheetView showGridLines="0" zoomScaleNormal="100" workbookViewId="0">
      <selection activeCell="J7" sqref="J7:J11"/>
    </sheetView>
  </sheetViews>
  <sheetFormatPr defaultColWidth="9" defaultRowHeight="16.5"/>
  <cols>
    <col min="1" max="1" width="1.625" style="70" customWidth="1"/>
    <col min="2" max="2" width="22.875" style="70" customWidth="1"/>
    <col min="3" max="3" width="13.875" style="70" bestFit="1" customWidth="1"/>
    <col min="4" max="4" width="16.25" style="70" bestFit="1" customWidth="1"/>
    <col min="5" max="5" width="15.125" style="70" bestFit="1" customWidth="1"/>
    <col min="6" max="6" width="18" style="70" customWidth="1"/>
    <col min="7" max="7" width="17.375" style="70" customWidth="1"/>
    <col min="8" max="8" width="20.625" style="70" customWidth="1"/>
    <col min="9" max="9" width="6.75" style="70" customWidth="1"/>
    <col min="10" max="10" width="21.5" style="70" bestFit="1" customWidth="1"/>
    <col min="11" max="11" width="15.375" style="70" bestFit="1" customWidth="1"/>
    <col min="12" max="12" width="22.875" style="70" customWidth="1"/>
    <col min="13" max="13" width="20.25" style="70" hidden="1" customWidth="1"/>
    <col min="14" max="14" width="20.625" style="70" hidden="1" customWidth="1"/>
    <col min="15" max="15" width="20.625" style="70" customWidth="1"/>
    <col min="16" max="16384" width="9" style="70"/>
  </cols>
  <sheetData>
    <row r="2" spans="2:14" ht="26.25">
      <c r="B2" s="474" t="s">
        <v>310</v>
      </c>
      <c r="C2" s="474"/>
      <c r="D2" s="474"/>
    </row>
    <row r="3" spans="2:14" ht="15" customHeight="1">
      <c r="B3" s="109"/>
      <c r="C3" s="110"/>
      <c r="D3" s="110"/>
      <c r="E3" s="110"/>
      <c r="F3" s="110"/>
      <c r="G3" s="108"/>
      <c r="H3" s="108"/>
    </row>
    <row r="4" spans="2:14" ht="17.25">
      <c r="B4" s="73" t="s">
        <v>311</v>
      </c>
      <c r="J4" s="73" t="s">
        <v>312</v>
      </c>
    </row>
    <row r="5" spans="2:14" ht="17.25" thickBot="1"/>
    <row r="6" spans="2:14">
      <c r="B6" s="475" t="s">
        <v>313</v>
      </c>
      <c r="C6" s="476"/>
      <c r="D6" s="479" t="s">
        <v>73</v>
      </c>
      <c r="E6" s="480"/>
      <c r="F6" s="480"/>
      <c r="G6" s="480"/>
      <c r="H6" s="481"/>
      <c r="J6" s="74" t="s">
        <v>314</v>
      </c>
      <c r="K6" s="75" t="s">
        <v>315</v>
      </c>
      <c r="L6" s="76" t="s">
        <v>316</v>
      </c>
      <c r="N6" s="172" t="s">
        <v>317</v>
      </c>
    </row>
    <row r="7" spans="2:14">
      <c r="B7" s="477"/>
      <c r="C7" s="478"/>
      <c r="D7" s="77" t="s">
        <v>318</v>
      </c>
      <c r="E7" s="78" t="s">
        <v>319</v>
      </c>
      <c r="F7" s="78" t="s">
        <v>320</v>
      </c>
      <c r="G7" s="78" t="s">
        <v>321</v>
      </c>
      <c r="H7" s="79" t="s">
        <v>322</v>
      </c>
      <c r="J7" s="80" t="s">
        <v>323</v>
      </c>
      <c r="K7" s="81" t="s">
        <v>324</v>
      </c>
      <c r="L7" s="82" t="s">
        <v>325</v>
      </c>
      <c r="N7" s="172" t="s">
        <v>326</v>
      </c>
    </row>
    <row r="8" spans="2:14">
      <c r="B8" s="477"/>
      <c r="C8" s="478"/>
      <c r="D8" s="83">
        <v>1</v>
      </c>
      <c r="E8" s="84">
        <v>2</v>
      </c>
      <c r="F8" s="84">
        <v>3</v>
      </c>
      <c r="G8" s="84">
        <v>4</v>
      </c>
      <c r="H8" s="85">
        <v>5</v>
      </c>
      <c r="J8" s="86" t="s">
        <v>327</v>
      </c>
      <c r="K8" s="81" t="s">
        <v>328</v>
      </c>
      <c r="L8" s="82"/>
    </row>
    <row r="9" spans="2:14" ht="24.75" customHeight="1">
      <c r="B9" s="87" t="s">
        <v>329</v>
      </c>
      <c r="C9" s="88">
        <v>1</v>
      </c>
      <c r="D9" s="89">
        <v>1</v>
      </c>
      <c r="E9" s="90">
        <v>2</v>
      </c>
      <c r="F9" s="91">
        <v>3</v>
      </c>
      <c r="G9" s="92">
        <v>4</v>
      </c>
      <c r="H9" s="173">
        <v>5</v>
      </c>
      <c r="J9" s="93" t="s">
        <v>330</v>
      </c>
      <c r="K9" s="81" t="s">
        <v>331</v>
      </c>
      <c r="L9" s="82"/>
    </row>
    <row r="10" spans="2:14" ht="24.75" customHeight="1">
      <c r="B10" s="87" t="s">
        <v>332</v>
      </c>
      <c r="C10" s="88">
        <v>2</v>
      </c>
      <c r="D10" s="94">
        <v>2</v>
      </c>
      <c r="E10" s="95">
        <v>4</v>
      </c>
      <c r="F10" s="96">
        <v>6</v>
      </c>
      <c r="G10" s="174">
        <v>8</v>
      </c>
      <c r="H10" s="175">
        <v>10</v>
      </c>
      <c r="J10" s="97" t="s">
        <v>333</v>
      </c>
      <c r="K10" s="81" t="s">
        <v>334</v>
      </c>
      <c r="L10" s="82" t="s">
        <v>335</v>
      </c>
    </row>
    <row r="11" spans="2:14" ht="24.75" customHeight="1">
      <c r="B11" s="87" t="s">
        <v>336</v>
      </c>
      <c r="C11" s="88">
        <v>3</v>
      </c>
      <c r="D11" s="98">
        <v>3</v>
      </c>
      <c r="E11" s="99">
        <v>6</v>
      </c>
      <c r="F11" s="176">
        <v>9</v>
      </c>
      <c r="G11" s="177">
        <v>12</v>
      </c>
      <c r="H11" s="178">
        <v>15</v>
      </c>
      <c r="J11" s="100" t="s">
        <v>337</v>
      </c>
      <c r="K11" s="81" t="s">
        <v>338</v>
      </c>
      <c r="L11" s="82" t="s">
        <v>339</v>
      </c>
    </row>
    <row r="12" spans="2:14" ht="17.25" thickBot="1">
      <c r="B12" s="87" t="s">
        <v>340</v>
      </c>
      <c r="C12" s="101">
        <v>4</v>
      </c>
      <c r="D12" s="92">
        <v>4</v>
      </c>
      <c r="E12" s="179">
        <v>8</v>
      </c>
      <c r="F12" s="180">
        <v>12</v>
      </c>
      <c r="G12" s="181">
        <v>16</v>
      </c>
      <c r="H12" s="182">
        <v>20</v>
      </c>
      <c r="J12" s="102" t="s">
        <v>341</v>
      </c>
      <c r="K12" s="103" t="s">
        <v>342</v>
      </c>
      <c r="L12" s="104" t="s">
        <v>343</v>
      </c>
    </row>
    <row r="13" spans="2:14" ht="17.25" thickBot="1">
      <c r="B13" s="105" t="s">
        <v>344</v>
      </c>
      <c r="C13" s="106">
        <v>5</v>
      </c>
      <c r="D13" s="183">
        <v>5</v>
      </c>
      <c r="E13" s="184">
        <v>10</v>
      </c>
      <c r="F13" s="185">
        <v>15</v>
      </c>
      <c r="G13" s="186">
        <v>20</v>
      </c>
      <c r="H13" s="187">
        <v>25</v>
      </c>
    </row>
    <row r="14" spans="2:14" ht="15" customHeight="1">
      <c r="B14" s="107" t="s">
        <v>345</v>
      </c>
      <c r="C14" s="107"/>
      <c r="D14" s="482"/>
      <c r="E14" s="483"/>
      <c r="F14" s="483"/>
      <c r="G14" s="483"/>
      <c r="H14" s="483"/>
    </row>
    <row r="15" spans="2:14" ht="15" customHeight="1">
      <c r="B15" s="109" t="s">
        <v>346</v>
      </c>
      <c r="C15" s="110"/>
      <c r="D15" s="110"/>
      <c r="E15" s="110"/>
      <c r="F15" s="110"/>
      <c r="G15" s="110"/>
      <c r="H15" s="108"/>
    </row>
    <row r="16" spans="2:14" ht="14.25" customHeight="1">
      <c r="B16" s="109"/>
      <c r="C16" s="110"/>
      <c r="D16" s="110"/>
      <c r="E16" s="110"/>
      <c r="F16" s="110"/>
      <c r="G16" s="108"/>
      <c r="H16" s="108"/>
    </row>
    <row r="17" spans="2:13" ht="15" customHeight="1">
      <c r="B17" s="109"/>
      <c r="C17" s="110"/>
      <c r="D17" s="110"/>
      <c r="E17" s="110"/>
      <c r="F17" s="110"/>
      <c r="G17" s="108"/>
      <c r="H17" s="108"/>
    </row>
    <row r="18" spans="2:13" ht="17.25" thickBot="1">
      <c r="B18" s="111"/>
      <c r="C18" s="112"/>
      <c r="D18" s="112"/>
      <c r="E18" s="112"/>
      <c r="F18" s="112"/>
      <c r="G18" s="113"/>
      <c r="H18" s="113"/>
      <c r="I18" s="114"/>
      <c r="J18" s="114"/>
      <c r="K18" s="114"/>
      <c r="L18" s="114"/>
      <c r="M18" s="114"/>
    </row>
    <row r="19" spans="2:13">
      <c r="B19" s="109"/>
      <c r="C19" s="110"/>
      <c r="D19" s="110"/>
      <c r="E19" s="110"/>
      <c r="F19" s="110"/>
      <c r="G19" s="108"/>
      <c r="H19" s="108"/>
    </row>
    <row r="20" spans="2:13">
      <c r="B20" s="109"/>
      <c r="C20" s="110"/>
      <c r="D20" s="110"/>
      <c r="E20" s="110"/>
      <c r="F20" s="110"/>
      <c r="G20" s="108"/>
      <c r="H20" s="108"/>
    </row>
    <row r="21" spans="2:13" ht="15" customHeight="1"/>
    <row r="22" spans="2:13" ht="17.25">
      <c r="B22" s="71" t="s">
        <v>347</v>
      </c>
      <c r="C22" s="71"/>
      <c r="D22" s="71"/>
      <c r="E22" s="71"/>
    </row>
    <row r="23" spans="2:13" ht="17.25" thickBot="1"/>
    <row r="24" spans="2:13" ht="20.100000000000001" customHeight="1">
      <c r="B24" s="484" t="s">
        <v>348</v>
      </c>
      <c r="C24" s="466" t="s">
        <v>349</v>
      </c>
      <c r="D24" s="468" t="s">
        <v>350</v>
      </c>
      <c r="E24" s="470" t="s">
        <v>351</v>
      </c>
      <c r="F24" s="471"/>
      <c r="G24" s="472" t="s">
        <v>352</v>
      </c>
      <c r="H24" s="115"/>
    </row>
    <row r="25" spans="2:13">
      <c r="B25" s="485"/>
      <c r="C25" s="467"/>
      <c r="D25" s="469"/>
      <c r="E25" s="116" t="s">
        <v>353</v>
      </c>
      <c r="F25" s="117" t="s">
        <v>354</v>
      </c>
      <c r="G25" s="473"/>
      <c r="H25" s="115" t="s">
        <v>355</v>
      </c>
    </row>
    <row r="26" spans="2:13">
      <c r="B26" s="118">
        <v>5</v>
      </c>
      <c r="C26" s="119" t="s">
        <v>356</v>
      </c>
      <c r="D26" s="120" t="s">
        <v>357</v>
      </c>
      <c r="E26" s="121" t="s">
        <v>358</v>
      </c>
      <c r="F26" s="122" t="s">
        <v>359</v>
      </c>
      <c r="G26" s="123" t="s">
        <v>360</v>
      </c>
    </row>
    <row r="27" spans="2:13">
      <c r="B27" s="124">
        <v>4</v>
      </c>
      <c r="C27" s="125" t="s">
        <v>361</v>
      </c>
      <c r="D27" s="126" t="s">
        <v>362</v>
      </c>
      <c r="E27" s="127" t="s">
        <v>358</v>
      </c>
      <c r="F27" s="128" t="s">
        <v>321</v>
      </c>
      <c r="G27" s="129" t="s">
        <v>363</v>
      </c>
    </row>
    <row r="28" spans="2:13">
      <c r="B28" s="124">
        <v>3</v>
      </c>
      <c r="C28" s="125" t="s">
        <v>336</v>
      </c>
      <c r="D28" s="126" t="s">
        <v>364</v>
      </c>
      <c r="E28" s="127" t="s">
        <v>358</v>
      </c>
      <c r="F28" s="128" t="s">
        <v>365</v>
      </c>
      <c r="G28" s="129" t="s">
        <v>366</v>
      </c>
      <c r="I28" s="72"/>
    </row>
    <row r="29" spans="2:13">
      <c r="B29" s="124">
        <v>2</v>
      </c>
      <c r="C29" s="125" t="s">
        <v>367</v>
      </c>
      <c r="D29" s="126" t="s">
        <v>368</v>
      </c>
      <c r="E29" s="127" t="s">
        <v>369</v>
      </c>
      <c r="F29" s="128" t="s">
        <v>319</v>
      </c>
      <c r="G29" s="129" t="s">
        <v>370</v>
      </c>
    </row>
    <row r="30" spans="2:13" ht="17.25" thickBot="1">
      <c r="B30" s="138">
        <v>1</v>
      </c>
      <c r="C30" s="130" t="s">
        <v>371</v>
      </c>
      <c r="D30" s="131" t="s">
        <v>372</v>
      </c>
      <c r="E30" s="132" t="s">
        <v>369</v>
      </c>
      <c r="F30" s="133" t="s">
        <v>373</v>
      </c>
      <c r="G30" s="134" t="s">
        <v>374</v>
      </c>
    </row>
    <row r="31" spans="2:13" ht="15" customHeight="1">
      <c r="B31" s="70" t="s">
        <v>375</v>
      </c>
      <c r="D31" s="449"/>
      <c r="E31" s="450"/>
    </row>
    <row r="32" spans="2:13" ht="15" customHeight="1">
      <c r="D32" s="136"/>
      <c r="E32" s="135"/>
    </row>
    <row r="33" spans="2:14" ht="17.25" thickBot="1"/>
    <row r="34" spans="2:14" ht="18" thickBot="1">
      <c r="B34" s="71" t="s">
        <v>376</v>
      </c>
      <c r="C34" s="71"/>
      <c r="D34" s="451" t="s">
        <v>377</v>
      </c>
      <c r="E34" s="452"/>
      <c r="F34" s="452"/>
      <c r="G34" s="452"/>
      <c r="H34" s="452"/>
      <c r="I34" s="453"/>
      <c r="J34" s="454" t="s">
        <v>378</v>
      </c>
      <c r="K34" s="455"/>
      <c r="L34" s="455"/>
      <c r="M34" s="456"/>
    </row>
    <row r="35" spans="2:14" ht="17.25" thickBot="1"/>
    <row r="36" spans="2:14" ht="20.100000000000001" customHeight="1">
      <c r="B36" s="457" t="s">
        <v>348</v>
      </c>
      <c r="C36" s="459" t="s">
        <v>379</v>
      </c>
      <c r="D36" s="461" t="s">
        <v>380</v>
      </c>
      <c r="E36" s="462"/>
      <c r="F36" s="137" t="s">
        <v>381</v>
      </c>
      <c r="G36" s="462" t="s">
        <v>382</v>
      </c>
      <c r="H36" s="462"/>
      <c r="I36" s="463"/>
      <c r="J36" s="447" t="s">
        <v>383</v>
      </c>
      <c r="K36" s="464" t="s">
        <v>384</v>
      </c>
      <c r="L36" s="447" t="s">
        <v>385</v>
      </c>
      <c r="M36" s="447" t="s">
        <v>386</v>
      </c>
    </row>
    <row r="37" spans="2:14">
      <c r="B37" s="458"/>
      <c r="C37" s="460"/>
      <c r="D37" s="139" t="s">
        <v>387</v>
      </c>
      <c r="E37" s="140" t="s">
        <v>388</v>
      </c>
      <c r="F37" s="140" t="s">
        <v>389</v>
      </c>
      <c r="G37" s="140" t="s">
        <v>390</v>
      </c>
      <c r="H37" s="140" t="s">
        <v>391</v>
      </c>
      <c r="I37" s="141" t="s">
        <v>392</v>
      </c>
      <c r="J37" s="448"/>
      <c r="K37" s="465"/>
      <c r="L37" s="448"/>
      <c r="M37" s="448"/>
    </row>
    <row r="38" spans="2:14" ht="36">
      <c r="B38" s="142">
        <v>5</v>
      </c>
      <c r="C38" s="143" t="s">
        <v>393</v>
      </c>
      <c r="D38" s="144" t="s">
        <v>394</v>
      </c>
      <c r="E38" s="145" t="s">
        <v>395</v>
      </c>
      <c r="F38" s="146" t="s">
        <v>396</v>
      </c>
      <c r="G38" s="147" t="s">
        <v>397</v>
      </c>
      <c r="H38" s="148" t="s">
        <v>398</v>
      </c>
      <c r="I38" s="149" t="s">
        <v>399</v>
      </c>
      <c r="J38" s="150" t="s">
        <v>400</v>
      </c>
      <c r="K38" s="151" t="s">
        <v>401</v>
      </c>
      <c r="L38" s="150" t="s">
        <v>402</v>
      </c>
      <c r="M38" s="150" t="s">
        <v>403</v>
      </c>
      <c r="N38" s="72"/>
    </row>
    <row r="39" spans="2:14" ht="120">
      <c r="B39" s="124">
        <v>4</v>
      </c>
      <c r="C39" s="125" t="s">
        <v>404</v>
      </c>
      <c r="D39" s="152" t="s">
        <v>405</v>
      </c>
      <c r="E39" s="153" t="s">
        <v>406</v>
      </c>
      <c r="F39" s="154" t="s">
        <v>407</v>
      </c>
      <c r="G39" s="155" t="s">
        <v>408</v>
      </c>
      <c r="H39" s="156" t="s">
        <v>409</v>
      </c>
      <c r="I39" s="157" t="s">
        <v>410</v>
      </c>
      <c r="J39" s="158" t="s">
        <v>411</v>
      </c>
      <c r="K39" s="159" t="s">
        <v>412</v>
      </c>
      <c r="L39" s="158" t="s">
        <v>413</v>
      </c>
      <c r="M39" s="158" t="s">
        <v>414</v>
      </c>
      <c r="N39" s="72"/>
    </row>
    <row r="40" spans="2:14" ht="108">
      <c r="B40" s="124">
        <v>3</v>
      </c>
      <c r="C40" s="125" t="s">
        <v>415</v>
      </c>
      <c r="D40" s="152" t="s">
        <v>416</v>
      </c>
      <c r="E40" s="153" t="s">
        <v>417</v>
      </c>
      <c r="F40" s="154" t="s">
        <v>418</v>
      </c>
      <c r="G40" s="155" t="s">
        <v>419</v>
      </c>
      <c r="H40" s="156" t="s">
        <v>420</v>
      </c>
      <c r="I40" s="157" t="s">
        <v>421</v>
      </c>
      <c r="J40" s="158" t="s">
        <v>422</v>
      </c>
      <c r="K40" s="160"/>
      <c r="L40" s="158" t="s">
        <v>423</v>
      </c>
      <c r="M40" s="158" t="s">
        <v>424</v>
      </c>
      <c r="N40" s="72"/>
    </row>
    <row r="41" spans="2:14" ht="72">
      <c r="B41" s="124">
        <v>2</v>
      </c>
      <c r="C41" s="125" t="s">
        <v>425</v>
      </c>
      <c r="D41" s="152" t="s">
        <v>426</v>
      </c>
      <c r="E41" s="153" t="s">
        <v>427</v>
      </c>
      <c r="F41" s="154" t="s">
        <v>428</v>
      </c>
      <c r="G41" s="155" t="s">
        <v>429</v>
      </c>
      <c r="H41" s="156" t="s">
        <v>430</v>
      </c>
      <c r="I41" s="157" t="s">
        <v>431</v>
      </c>
      <c r="J41" s="158"/>
      <c r="K41" s="160"/>
      <c r="L41" s="158" t="s">
        <v>432</v>
      </c>
      <c r="M41" s="158" t="s">
        <v>433</v>
      </c>
    </row>
    <row r="42" spans="2:14" ht="36.75" thickBot="1">
      <c r="B42" s="138">
        <v>1</v>
      </c>
      <c r="C42" s="130" t="s">
        <v>434</v>
      </c>
      <c r="D42" s="161" t="s">
        <v>435</v>
      </c>
      <c r="E42" s="162" t="s">
        <v>436</v>
      </c>
      <c r="F42" s="163" t="s">
        <v>437</v>
      </c>
      <c r="G42" s="164" t="s">
        <v>438</v>
      </c>
      <c r="H42" s="165" t="s">
        <v>439</v>
      </c>
      <c r="I42" s="166" t="s">
        <v>440</v>
      </c>
      <c r="J42" s="167"/>
      <c r="K42" s="188"/>
      <c r="L42" s="167" t="s">
        <v>441</v>
      </c>
      <c r="M42" s="167" t="s">
        <v>442</v>
      </c>
    </row>
    <row r="43" spans="2:14" ht="15" customHeight="1">
      <c r="M43" s="168"/>
    </row>
  </sheetData>
  <mergeCells count="20">
    <mergeCell ref="C24:C25"/>
    <mergeCell ref="D24:D25"/>
    <mergeCell ref="E24:F24"/>
    <mergeCell ref="G24:G25"/>
    <mergeCell ref="B2:D2"/>
    <mergeCell ref="B6:C8"/>
    <mergeCell ref="D6:H6"/>
    <mergeCell ref="D14:H14"/>
    <mergeCell ref="B24:B25"/>
    <mergeCell ref="M36:M37"/>
    <mergeCell ref="D31:E31"/>
    <mergeCell ref="D34:I34"/>
    <mergeCell ref="J34:M34"/>
    <mergeCell ref="B36:B37"/>
    <mergeCell ref="C36:C37"/>
    <mergeCell ref="D36:E36"/>
    <mergeCell ref="G36:I36"/>
    <mergeCell ref="J36:J37"/>
    <mergeCell ref="K36:K37"/>
    <mergeCell ref="L36:L3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E4C9-EE3F-4990-A730-509B4FB74377}">
  <sheetPr>
    <tabColor theme="0"/>
  </sheetPr>
  <dimension ref="A2:H36"/>
  <sheetViews>
    <sheetView topLeftCell="A25" zoomScale="85" zoomScaleNormal="85" workbookViewId="0">
      <selection activeCell="H14" sqref="H14"/>
    </sheetView>
  </sheetViews>
  <sheetFormatPr defaultRowHeight="16.5"/>
  <cols>
    <col min="1" max="1" width="4.625" customWidth="1"/>
    <col min="2" max="2" width="20.75" bestFit="1" customWidth="1"/>
    <col min="3" max="3" width="41.875" customWidth="1"/>
    <col min="4" max="4" width="21" customWidth="1"/>
    <col min="5" max="5" width="25.5" customWidth="1"/>
    <col min="6" max="6" width="49.875" customWidth="1"/>
    <col min="7" max="7" width="17.875" bestFit="1" customWidth="1"/>
    <col min="8" max="8" width="30.75" bestFit="1" customWidth="1"/>
  </cols>
  <sheetData>
    <row r="2" spans="1:8">
      <c r="A2" s="135"/>
      <c r="B2" s="70"/>
      <c r="C2" s="70"/>
      <c r="D2" s="70"/>
      <c r="E2" s="70"/>
      <c r="F2" s="70"/>
      <c r="G2" s="70"/>
      <c r="H2" s="70"/>
    </row>
    <row r="3" spans="1:8" ht="17.25">
      <c r="A3" s="492" t="s">
        <v>443</v>
      </c>
      <c r="B3" s="492"/>
      <c r="C3" s="492"/>
      <c r="D3" s="492"/>
      <c r="E3" s="492"/>
      <c r="F3" s="492"/>
      <c r="G3" s="492"/>
      <c r="H3" s="492"/>
    </row>
    <row r="4" spans="1:8">
      <c r="A4" s="135"/>
      <c r="B4" s="70"/>
      <c r="C4" s="70"/>
      <c r="D4" s="70"/>
      <c r="E4" s="70"/>
      <c r="F4" s="70"/>
      <c r="G4" s="70"/>
      <c r="H4" s="70"/>
    </row>
    <row r="5" spans="1:8" ht="33">
      <c r="A5" s="230" t="s">
        <v>30</v>
      </c>
      <c r="B5" s="231" t="s">
        <v>31</v>
      </c>
      <c r="C5" s="233" t="s">
        <v>32</v>
      </c>
      <c r="D5" s="232" t="s">
        <v>33</v>
      </c>
      <c r="E5" s="234" t="s">
        <v>444</v>
      </c>
      <c r="F5" s="234" t="s">
        <v>35</v>
      </c>
      <c r="G5" s="232" t="s">
        <v>36</v>
      </c>
      <c r="H5" s="235" t="s">
        <v>37</v>
      </c>
    </row>
    <row r="6" spans="1:8" ht="33">
      <c r="A6" s="236">
        <v>1</v>
      </c>
      <c r="B6" s="237" t="s">
        <v>38</v>
      </c>
      <c r="C6" s="239" t="s">
        <v>39</v>
      </c>
      <c r="D6" s="240" t="s">
        <v>40</v>
      </c>
      <c r="E6" s="238" t="s">
        <v>41</v>
      </c>
      <c r="F6" s="241" t="s">
        <v>445</v>
      </c>
      <c r="G6" s="242" t="s">
        <v>446</v>
      </c>
      <c r="H6" s="238" t="s">
        <v>447</v>
      </c>
    </row>
    <row r="7" spans="1:8" ht="33">
      <c r="A7" s="236">
        <v>2</v>
      </c>
      <c r="B7" s="493" t="s">
        <v>448</v>
      </c>
      <c r="C7" s="243" t="s">
        <v>449</v>
      </c>
      <c r="D7" s="244" t="s">
        <v>450</v>
      </c>
      <c r="E7" s="244" t="s">
        <v>451</v>
      </c>
      <c r="F7" s="245" t="s">
        <v>452</v>
      </c>
      <c r="G7" s="244" t="s">
        <v>150</v>
      </c>
      <c r="H7" s="247" t="s">
        <v>453</v>
      </c>
    </row>
    <row r="8" spans="1:8" ht="33">
      <c r="A8" s="236">
        <v>3</v>
      </c>
      <c r="B8" s="494"/>
      <c r="C8" s="248" t="s">
        <v>449</v>
      </c>
      <c r="D8" s="244" t="s">
        <v>450</v>
      </c>
      <c r="E8" s="244" t="s">
        <v>451</v>
      </c>
      <c r="F8" s="245" t="s">
        <v>452</v>
      </c>
      <c r="G8" s="246" t="s">
        <v>170</v>
      </c>
      <c r="H8" s="247" t="s">
        <v>453</v>
      </c>
    </row>
    <row r="9" spans="1:8" ht="33">
      <c r="A9" s="236">
        <v>4</v>
      </c>
      <c r="B9" s="494"/>
      <c r="C9" s="248" t="s">
        <v>449</v>
      </c>
      <c r="D9" s="244" t="s">
        <v>450</v>
      </c>
      <c r="E9" s="244" t="s">
        <v>454</v>
      </c>
      <c r="F9" s="245" t="s">
        <v>452</v>
      </c>
      <c r="G9" s="244" t="s">
        <v>4</v>
      </c>
      <c r="H9" s="247" t="s">
        <v>453</v>
      </c>
    </row>
    <row r="10" spans="1:8" ht="33">
      <c r="A10" s="236">
        <v>5</v>
      </c>
      <c r="B10" s="494"/>
      <c r="C10" s="248" t="s">
        <v>449</v>
      </c>
      <c r="D10" s="244" t="s">
        <v>450</v>
      </c>
      <c r="E10" s="244" t="s">
        <v>454</v>
      </c>
      <c r="F10" s="245" t="s">
        <v>452</v>
      </c>
      <c r="G10" s="244" t="s">
        <v>10</v>
      </c>
      <c r="H10" s="247" t="s">
        <v>453</v>
      </c>
    </row>
    <row r="11" spans="1:8" ht="33">
      <c r="A11" s="236">
        <v>6</v>
      </c>
      <c r="B11" s="494"/>
      <c r="C11" s="248" t="s">
        <v>449</v>
      </c>
      <c r="D11" s="244" t="s">
        <v>450</v>
      </c>
      <c r="E11" s="244" t="s">
        <v>454</v>
      </c>
      <c r="F11" s="245" t="s">
        <v>452</v>
      </c>
      <c r="G11" s="244" t="s">
        <v>6</v>
      </c>
      <c r="H11" s="247" t="s">
        <v>453</v>
      </c>
    </row>
    <row r="12" spans="1:8" ht="33">
      <c r="A12" s="236">
        <v>7</v>
      </c>
      <c r="B12" s="494"/>
      <c r="C12" s="248" t="s">
        <v>449</v>
      </c>
      <c r="D12" s="244" t="s">
        <v>450</v>
      </c>
      <c r="E12" s="244" t="s">
        <v>454</v>
      </c>
      <c r="F12" s="245" t="s">
        <v>452</v>
      </c>
      <c r="G12" s="244" t="s">
        <v>3</v>
      </c>
      <c r="H12" s="247" t="s">
        <v>453</v>
      </c>
    </row>
    <row r="13" spans="1:8" ht="33">
      <c r="A13" s="236">
        <v>8</v>
      </c>
      <c r="B13" s="494"/>
      <c r="C13" s="248" t="s">
        <v>449</v>
      </c>
      <c r="D13" s="244" t="s">
        <v>450</v>
      </c>
      <c r="E13" s="244" t="s">
        <v>454</v>
      </c>
      <c r="F13" s="245" t="s">
        <v>452</v>
      </c>
      <c r="G13" s="244" t="s">
        <v>21</v>
      </c>
      <c r="H13" s="247" t="s">
        <v>453</v>
      </c>
    </row>
    <row r="14" spans="1:8" ht="33">
      <c r="A14" s="236">
        <v>9</v>
      </c>
      <c r="B14" s="494"/>
      <c r="C14" s="248" t="s">
        <v>455</v>
      </c>
      <c r="D14" s="249" t="s">
        <v>456</v>
      </c>
      <c r="E14" s="244" t="s">
        <v>457</v>
      </c>
      <c r="F14" s="245" t="s">
        <v>458</v>
      </c>
      <c r="G14" s="244" t="s">
        <v>156</v>
      </c>
      <c r="H14" s="247"/>
    </row>
    <row r="15" spans="1:8" ht="33">
      <c r="A15" s="236">
        <v>10</v>
      </c>
      <c r="B15" s="494"/>
      <c r="C15" s="248" t="s">
        <v>455</v>
      </c>
      <c r="D15" s="249" t="s">
        <v>456</v>
      </c>
      <c r="E15" s="244" t="s">
        <v>457</v>
      </c>
      <c r="F15" s="245" t="s">
        <v>458</v>
      </c>
      <c r="G15" s="244" t="s">
        <v>167</v>
      </c>
      <c r="H15" s="247"/>
    </row>
    <row r="16" spans="1:8" ht="33">
      <c r="A16" s="236">
        <v>11</v>
      </c>
      <c r="B16" s="494"/>
      <c r="C16" s="250" t="s">
        <v>459</v>
      </c>
      <c r="D16" s="251" t="s">
        <v>460</v>
      </c>
      <c r="E16" s="252" t="s">
        <v>461</v>
      </c>
      <c r="F16" s="245" t="s">
        <v>462</v>
      </c>
      <c r="G16" s="244" t="s">
        <v>156</v>
      </c>
      <c r="H16" s="247" t="s">
        <v>49</v>
      </c>
    </row>
    <row r="17" spans="1:8">
      <c r="A17" s="236">
        <v>12</v>
      </c>
      <c r="B17" s="494"/>
      <c r="C17" s="248" t="s">
        <v>463</v>
      </c>
      <c r="D17" s="249" t="s">
        <v>463</v>
      </c>
      <c r="E17" s="244" t="s">
        <v>464</v>
      </c>
      <c r="F17" s="245" t="s">
        <v>465</v>
      </c>
      <c r="G17" s="244" t="s">
        <v>159</v>
      </c>
      <c r="H17" s="247" t="s">
        <v>453</v>
      </c>
    </row>
    <row r="18" spans="1:8" ht="33">
      <c r="A18" s="236">
        <v>13</v>
      </c>
      <c r="B18" s="494"/>
      <c r="C18" s="248" t="s">
        <v>466</v>
      </c>
      <c r="D18" s="249" t="s">
        <v>466</v>
      </c>
      <c r="E18" s="244" t="s">
        <v>467</v>
      </c>
      <c r="F18" s="245" t="s">
        <v>468</v>
      </c>
      <c r="G18" s="244" t="s">
        <v>153</v>
      </c>
      <c r="H18" s="247" t="s">
        <v>469</v>
      </c>
    </row>
    <row r="19" spans="1:8" ht="33">
      <c r="A19" s="236">
        <v>14</v>
      </c>
      <c r="B19" s="494"/>
      <c r="C19" s="248" t="s">
        <v>470</v>
      </c>
      <c r="D19" s="249" t="s">
        <v>470</v>
      </c>
      <c r="E19" s="244" t="s">
        <v>471</v>
      </c>
      <c r="F19" s="245" t="s">
        <v>472</v>
      </c>
      <c r="G19" s="244" t="s">
        <v>159</v>
      </c>
      <c r="H19" s="247" t="s">
        <v>453</v>
      </c>
    </row>
    <row r="20" spans="1:8" ht="33">
      <c r="A20" s="236">
        <v>15</v>
      </c>
      <c r="B20" s="495"/>
      <c r="C20" s="253" t="s">
        <v>473</v>
      </c>
      <c r="D20" s="254" t="s">
        <v>473</v>
      </c>
      <c r="E20" s="255" t="s">
        <v>464</v>
      </c>
      <c r="F20" s="256" t="s">
        <v>474</v>
      </c>
      <c r="G20" s="257" t="s">
        <v>159</v>
      </c>
      <c r="H20" s="259" t="s">
        <v>453</v>
      </c>
    </row>
    <row r="21" spans="1:8">
      <c r="A21" s="236">
        <v>16</v>
      </c>
      <c r="B21" s="496" t="s">
        <v>475</v>
      </c>
      <c r="C21" s="260" t="s">
        <v>476</v>
      </c>
      <c r="D21" s="261" t="s">
        <v>477</v>
      </c>
      <c r="E21" s="262" t="s">
        <v>464</v>
      </c>
      <c r="F21" s="263" t="s">
        <v>478</v>
      </c>
      <c r="G21" s="262" t="s">
        <v>162</v>
      </c>
      <c r="H21" s="264" t="s">
        <v>479</v>
      </c>
    </row>
    <row r="22" spans="1:8" ht="33">
      <c r="A22" s="236">
        <v>17</v>
      </c>
      <c r="B22" s="497"/>
      <c r="C22" s="265" t="s">
        <v>480</v>
      </c>
      <c r="D22" s="266" t="s">
        <v>481</v>
      </c>
      <c r="E22" s="247" t="s">
        <v>482</v>
      </c>
      <c r="F22" s="267" t="s">
        <v>483</v>
      </c>
      <c r="G22" s="246" t="s">
        <v>164</v>
      </c>
      <c r="H22" s="247" t="s">
        <v>484</v>
      </c>
    </row>
    <row r="23" spans="1:8" ht="33">
      <c r="A23" s="236">
        <v>18</v>
      </c>
      <c r="B23" s="497"/>
      <c r="C23" s="265" t="s">
        <v>485</v>
      </c>
      <c r="D23" s="266" t="s">
        <v>486</v>
      </c>
      <c r="E23" s="247" t="s">
        <v>487</v>
      </c>
      <c r="F23" s="267" t="s">
        <v>488</v>
      </c>
      <c r="G23" s="246" t="s">
        <v>162</v>
      </c>
      <c r="H23" s="247" t="s">
        <v>479</v>
      </c>
    </row>
    <row r="24" spans="1:8" ht="33">
      <c r="A24" s="236">
        <v>19</v>
      </c>
      <c r="B24" s="498"/>
      <c r="C24" s="268" t="s">
        <v>489</v>
      </c>
      <c r="D24" s="269" t="s">
        <v>490</v>
      </c>
      <c r="E24" s="258" t="s">
        <v>491</v>
      </c>
      <c r="F24" s="270" t="s">
        <v>492</v>
      </c>
      <c r="G24" s="258" t="s">
        <v>162</v>
      </c>
      <c r="H24" s="259" t="s">
        <v>493</v>
      </c>
    </row>
    <row r="25" spans="1:8">
      <c r="A25" s="236">
        <v>20</v>
      </c>
      <c r="B25" s="496" t="s">
        <v>44</v>
      </c>
      <c r="C25" s="260" t="s">
        <v>45</v>
      </c>
      <c r="D25" s="261" t="s">
        <v>46</v>
      </c>
      <c r="E25" s="271" t="s">
        <v>41</v>
      </c>
      <c r="F25" s="272" t="s">
        <v>494</v>
      </c>
      <c r="G25" s="271" t="s">
        <v>446</v>
      </c>
      <c r="H25" s="264" t="s">
        <v>495</v>
      </c>
    </row>
    <row r="26" spans="1:8" ht="66">
      <c r="A26" s="236">
        <v>21</v>
      </c>
      <c r="B26" s="491"/>
      <c r="C26" s="273" t="s">
        <v>50</v>
      </c>
      <c r="D26" s="274" t="s">
        <v>51</v>
      </c>
      <c r="E26" s="275" t="s">
        <v>496</v>
      </c>
      <c r="F26" s="276" t="s">
        <v>497</v>
      </c>
      <c r="G26" s="277" t="s">
        <v>21</v>
      </c>
      <c r="H26" s="275" t="s">
        <v>498</v>
      </c>
    </row>
    <row r="27" spans="1:8" ht="33">
      <c r="A27" s="236">
        <v>22</v>
      </c>
      <c r="B27" s="489" t="s">
        <v>499</v>
      </c>
      <c r="C27" s="278" t="s">
        <v>55</v>
      </c>
      <c r="D27" s="279" t="s">
        <v>56</v>
      </c>
      <c r="E27" s="246" t="s">
        <v>500</v>
      </c>
      <c r="F27" s="267" t="s">
        <v>501</v>
      </c>
      <c r="G27" s="247" t="s">
        <v>162</v>
      </c>
      <c r="H27" s="247"/>
    </row>
    <row r="28" spans="1:8" ht="33">
      <c r="A28" s="236">
        <v>23</v>
      </c>
      <c r="B28" s="489"/>
      <c r="C28" s="265" t="s">
        <v>55</v>
      </c>
      <c r="D28" s="279" t="s">
        <v>56</v>
      </c>
      <c r="E28" s="246" t="s">
        <v>500</v>
      </c>
      <c r="F28" s="267" t="s">
        <v>501</v>
      </c>
      <c r="G28" s="247" t="s">
        <v>170</v>
      </c>
      <c r="H28" s="247"/>
    </row>
    <row r="29" spans="1:8" ht="33">
      <c r="A29" s="236">
        <v>24</v>
      </c>
      <c r="B29" s="489"/>
      <c r="C29" s="280" t="s">
        <v>502</v>
      </c>
      <c r="D29" s="279" t="s">
        <v>503</v>
      </c>
      <c r="E29" s="246" t="s">
        <v>504</v>
      </c>
      <c r="F29" s="267" t="s">
        <v>505</v>
      </c>
      <c r="G29" s="247" t="s">
        <v>170</v>
      </c>
      <c r="H29" s="247" t="s">
        <v>506</v>
      </c>
    </row>
    <row r="30" spans="1:8" ht="33">
      <c r="A30" s="236">
        <v>25</v>
      </c>
      <c r="B30" s="489"/>
      <c r="C30" s="248" t="s">
        <v>507</v>
      </c>
      <c r="D30" s="249" t="s">
        <v>508</v>
      </c>
      <c r="E30" s="244" t="s">
        <v>504</v>
      </c>
      <c r="F30" s="245" t="s">
        <v>509</v>
      </c>
      <c r="G30" s="247" t="s">
        <v>170</v>
      </c>
      <c r="H30" s="247" t="s">
        <v>506</v>
      </c>
    </row>
    <row r="31" spans="1:8" ht="33">
      <c r="A31" s="236">
        <v>26</v>
      </c>
      <c r="B31" s="490"/>
      <c r="C31" s="253" t="s">
        <v>507</v>
      </c>
      <c r="D31" s="281" t="s">
        <v>508</v>
      </c>
      <c r="E31" s="244" t="s">
        <v>504</v>
      </c>
      <c r="F31" s="282" t="s">
        <v>510</v>
      </c>
      <c r="G31" s="257" t="s">
        <v>172</v>
      </c>
      <c r="H31" s="259" t="s">
        <v>506</v>
      </c>
    </row>
    <row r="32" spans="1:8" ht="33">
      <c r="A32" s="236">
        <v>27</v>
      </c>
      <c r="B32" s="486" t="s">
        <v>511</v>
      </c>
      <c r="C32" s="284" t="s">
        <v>512</v>
      </c>
      <c r="D32" s="285" t="s">
        <v>513</v>
      </c>
      <c r="E32" s="283" t="s">
        <v>514</v>
      </c>
      <c r="F32" s="286" t="s">
        <v>515</v>
      </c>
      <c r="G32" s="262" t="s">
        <v>167</v>
      </c>
      <c r="H32" s="287"/>
    </row>
    <row r="33" spans="1:8" ht="66">
      <c r="A33" s="236">
        <v>28</v>
      </c>
      <c r="B33" s="487"/>
      <c r="C33" s="273" t="s">
        <v>516</v>
      </c>
      <c r="D33" s="274" t="s">
        <v>517</v>
      </c>
      <c r="E33" s="275" t="s">
        <v>518</v>
      </c>
      <c r="F33" s="276" t="s">
        <v>519</v>
      </c>
      <c r="G33" s="277" t="s">
        <v>167</v>
      </c>
      <c r="H33" s="275" t="s">
        <v>520</v>
      </c>
    </row>
    <row r="34" spans="1:8" ht="49.5">
      <c r="A34" s="236">
        <v>28</v>
      </c>
      <c r="B34" s="488"/>
      <c r="C34" s="273" t="s">
        <v>521</v>
      </c>
      <c r="D34" s="274" t="s">
        <v>522</v>
      </c>
      <c r="E34" s="275"/>
      <c r="F34" s="276" t="s">
        <v>523</v>
      </c>
      <c r="G34" s="277" t="s">
        <v>524</v>
      </c>
      <c r="H34" s="275"/>
    </row>
    <row r="35" spans="1:8" ht="33">
      <c r="A35" s="236">
        <v>29</v>
      </c>
      <c r="B35" s="486" t="s">
        <v>525</v>
      </c>
      <c r="C35" s="284" t="s">
        <v>526</v>
      </c>
      <c r="D35" s="288" t="s">
        <v>179</v>
      </c>
      <c r="E35" s="271" t="s">
        <v>163</v>
      </c>
      <c r="F35" s="272" t="s">
        <v>527</v>
      </c>
      <c r="G35" s="271" t="s">
        <v>446</v>
      </c>
      <c r="H35" s="287" t="s">
        <v>528</v>
      </c>
    </row>
    <row r="36" spans="1:8" ht="33">
      <c r="A36" s="236">
        <v>30</v>
      </c>
      <c r="B36" s="491"/>
      <c r="C36" s="253" t="s">
        <v>529</v>
      </c>
      <c r="D36" s="289" t="s">
        <v>61</v>
      </c>
      <c r="E36" s="290" t="s">
        <v>530</v>
      </c>
      <c r="F36" s="291" t="s">
        <v>527</v>
      </c>
      <c r="G36" s="290" t="s">
        <v>21</v>
      </c>
      <c r="H36" s="275" t="s">
        <v>531</v>
      </c>
    </row>
  </sheetData>
  <mergeCells count="7">
    <mergeCell ref="B32:B34"/>
    <mergeCell ref="B27:B31"/>
    <mergeCell ref="B35:B36"/>
    <mergeCell ref="A3:H3"/>
    <mergeCell ref="B7:B20"/>
    <mergeCell ref="B21:B24"/>
    <mergeCell ref="B25:B26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4464-62B8-46C7-81A3-CDF4F663C542}">
  <sheetPr>
    <tabColor theme="0"/>
  </sheetPr>
  <dimension ref="B2:C19"/>
  <sheetViews>
    <sheetView workbookViewId="0">
      <selection activeCell="D28" sqref="D28"/>
    </sheetView>
  </sheetViews>
  <sheetFormatPr defaultRowHeight="16.5"/>
  <cols>
    <col min="2" max="2" width="4.5" bestFit="1" customWidth="1"/>
    <col min="3" max="3" width="124.25" customWidth="1"/>
  </cols>
  <sheetData>
    <row r="2" spans="2:3" ht="20.100000000000001" customHeight="1">
      <c r="B2" s="199"/>
      <c r="C2" s="199" t="s">
        <v>532</v>
      </c>
    </row>
    <row r="3" spans="2:3" ht="20.100000000000001" customHeight="1">
      <c r="B3" s="200">
        <v>1</v>
      </c>
      <c r="C3" s="201" t="s">
        <v>533</v>
      </c>
    </row>
    <row r="4" spans="2:3" ht="20.100000000000001" customHeight="1">
      <c r="B4" s="200">
        <v>2</v>
      </c>
      <c r="C4" s="201" t="s">
        <v>534</v>
      </c>
    </row>
    <row r="5" spans="2:3" ht="20.100000000000001" customHeight="1">
      <c r="B5" s="200">
        <v>3</v>
      </c>
      <c r="C5" s="201" t="s">
        <v>535</v>
      </c>
    </row>
    <row r="6" spans="2:3" ht="20.100000000000001" customHeight="1">
      <c r="B6" s="200">
        <v>4</v>
      </c>
      <c r="C6" s="201" t="s">
        <v>536</v>
      </c>
    </row>
    <row r="7" spans="2:3" ht="20.100000000000001" customHeight="1">
      <c r="B7" s="200">
        <v>5</v>
      </c>
      <c r="C7" s="201" t="s">
        <v>537</v>
      </c>
    </row>
    <row r="8" spans="2:3" ht="20.100000000000001" customHeight="1">
      <c r="B8" s="200">
        <v>6</v>
      </c>
      <c r="C8" s="201" t="s">
        <v>538</v>
      </c>
    </row>
    <row r="9" spans="2:3" ht="20.100000000000001" customHeight="1">
      <c r="B9" s="200">
        <v>7</v>
      </c>
      <c r="C9" s="201" t="s">
        <v>539</v>
      </c>
    </row>
    <row r="10" spans="2:3" ht="20.100000000000001" customHeight="1">
      <c r="B10" s="200">
        <v>8</v>
      </c>
      <c r="C10" s="201" t="s">
        <v>540</v>
      </c>
    </row>
    <row r="11" spans="2:3" ht="20.100000000000001" customHeight="1">
      <c r="B11" s="200">
        <v>9</v>
      </c>
      <c r="C11" s="201" t="s">
        <v>541</v>
      </c>
    </row>
    <row r="12" spans="2:3" ht="20.100000000000001" customHeight="1">
      <c r="B12" s="200">
        <v>10</v>
      </c>
      <c r="C12" s="201" t="s">
        <v>542</v>
      </c>
    </row>
    <row r="13" spans="2:3" ht="20.100000000000001" customHeight="1">
      <c r="B13" s="200">
        <v>11</v>
      </c>
      <c r="C13" s="201" t="s">
        <v>543</v>
      </c>
    </row>
    <row r="14" spans="2:3" ht="20.100000000000001" customHeight="1">
      <c r="B14" s="200">
        <v>12</v>
      </c>
      <c r="C14" s="201" t="s">
        <v>544</v>
      </c>
    </row>
    <row r="15" spans="2:3" ht="20.100000000000001" customHeight="1">
      <c r="B15" s="200">
        <v>13</v>
      </c>
      <c r="C15" s="201" t="s">
        <v>545</v>
      </c>
    </row>
    <row r="16" spans="2:3" ht="20.100000000000001" customHeight="1">
      <c r="B16" s="200">
        <v>14</v>
      </c>
      <c r="C16" s="201" t="s">
        <v>546</v>
      </c>
    </row>
    <row r="17" spans="2:3" ht="20.100000000000001" customHeight="1">
      <c r="B17" s="200">
        <v>15</v>
      </c>
      <c r="C17" s="201" t="s">
        <v>547</v>
      </c>
    </row>
    <row r="18" spans="2:3" ht="20.100000000000001" customHeight="1">
      <c r="B18" s="200">
        <v>16</v>
      </c>
      <c r="C18" s="201" t="s">
        <v>548</v>
      </c>
    </row>
    <row r="19" spans="2:3" ht="20.100000000000001" customHeight="1">
      <c r="B19" s="200">
        <v>17</v>
      </c>
      <c r="C19" s="201" t="s">
        <v>549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f8be58-41f8-4b74-854d-9215caaa9660">
      <Terms xmlns="http://schemas.microsoft.com/office/infopath/2007/PartnerControls"/>
    </lcf76f155ced4ddcb4097134ff3c332f>
    <TaxCatchAll xmlns="324be441-b7c3-4b9e-8c14-41631b922e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C11D47A5C5D43A708F6E61122B62A" ma:contentTypeVersion="11" ma:contentTypeDescription="Create a new document." ma:contentTypeScope="" ma:versionID="f114fd57305d73b39ba2c7ab8cd8ee52">
  <xsd:schema xmlns:xsd="http://www.w3.org/2001/XMLSchema" xmlns:xs="http://www.w3.org/2001/XMLSchema" xmlns:p="http://schemas.microsoft.com/office/2006/metadata/properties" xmlns:ns2="b6f8be58-41f8-4b74-854d-9215caaa9660" xmlns:ns3="324be441-b7c3-4b9e-8c14-41631b922eda" targetNamespace="http://schemas.microsoft.com/office/2006/metadata/properties" ma:root="true" ma:fieldsID="350af3f5200ee4f54d1e9939f77ea475" ns2:_="" ns3:_="">
    <xsd:import namespace="b6f8be58-41f8-4b74-854d-9215caaa9660"/>
    <xsd:import namespace="324be441-b7c3-4b9e-8c14-41631b922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8be58-41f8-4b74-854d-9215caaa96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4be441-b7c3-4b9e-8c14-41631b922ed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ac7f10-99d5-464a-a027-c3350f66cc88}" ma:internalName="TaxCatchAll" ma:showField="CatchAllData" ma:web="324be441-b7c3-4b9e-8c14-41631b922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97A175-2F22-43D5-980F-366D07B3AAFF}"/>
</file>

<file path=customXml/itemProps2.xml><?xml version="1.0" encoding="utf-8"?>
<ds:datastoreItem xmlns:ds="http://schemas.openxmlformats.org/officeDocument/2006/customXml" ds:itemID="{7BF469CA-4080-4C8B-832E-18C2022CB547}"/>
</file>

<file path=customXml/itemProps3.xml><?xml version="1.0" encoding="utf-8"?>
<ds:datastoreItem xmlns:ds="http://schemas.openxmlformats.org/officeDocument/2006/customXml" ds:itemID="{F8C241E9-41BF-48E2-9EE1-C12E1C7D6D65}"/>
</file>

<file path=docMetadata/LabelInfo.xml><?xml version="1.0" encoding="utf-8"?>
<clbl:labelList xmlns:clbl="http://schemas.microsoft.com/office/2020/mipLabelMetadata">
  <clbl:label id="{9d1b3610-9ab0-42d5-93aa-46150d723d87}" enabled="0" method="" siteId="{9d1b3610-9ab0-42d5-93aa-46150d723d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배현철(Hyunchul Bae) 선임 Doosan Bobcat</dc:creator>
  <cp:keywords/>
  <dc:description/>
  <cp:lastModifiedBy>조혜은(Hyeon Jo) 수석 Doosan Bobcat</cp:lastModifiedBy>
  <cp:revision/>
  <dcterms:created xsi:type="dcterms:W3CDTF">2023-12-05T09:03:03Z</dcterms:created>
  <dcterms:modified xsi:type="dcterms:W3CDTF">2026-02-11T23:17:32Z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0x01010075EC11D47A5C5D43A708F6E61122B62A</vt:lpwstr>
  </property>
  <property fmtid="{D5CDD505-2E9C-101B-9397-08002B2CF9AE}" pid="3" name="MediaServiceImageTags">
    <vt:lpwstr/>
  </property>
</Properties>
</file>